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Elias\Downloads\"/>
    </mc:Choice>
  </mc:AlternateContent>
  <xr:revisionPtr revIDLastSave="0" documentId="13_ncr:1_{375BA1CD-0536-4170-99A8-9569142ED456}" xr6:coauthVersionLast="47" xr6:coauthVersionMax="47" xr10:uidLastSave="{00000000-0000-0000-0000-000000000000}"/>
  <bookViews>
    <workbookView xWindow="-120" yWindow="-120" windowWidth="29040" windowHeight="15720" tabRatio="924" firstSheet="5" activeTab="28" xr2:uid="{4574E6FA-6FF0-4EB7-BECF-DC890A58BF09}"/>
  </bookViews>
  <sheets>
    <sheet name="Temario" sheetId="3" r:id="rId1"/>
    <sheet name="100 Tips Harvard" sheetId="4" r:id="rId2"/>
    <sheet name="M1_C1" sheetId="24" r:id="rId3"/>
    <sheet name="M1_C2" sheetId="25" r:id="rId4"/>
    <sheet name="M1_C3" sheetId="28" r:id="rId5"/>
    <sheet name="M1_C4" sheetId="29" r:id="rId6"/>
    <sheet name="M1_C5" sheetId="26" r:id="rId7"/>
    <sheet name="M1_C6" sheetId="27" r:id="rId8"/>
    <sheet name="M2_C1" sheetId="23" r:id="rId9"/>
    <sheet name="M2_C2" sheetId="22" r:id="rId10"/>
    <sheet name="M2_C3" sheetId="21" r:id="rId11"/>
    <sheet name="M2_C4" sheetId="20" r:id="rId12"/>
    <sheet name="M3_C1" sheetId="19" r:id="rId13"/>
    <sheet name="M3_C2" sheetId="18" r:id="rId14"/>
    <sheet name="M3_C3" sheetId="17" r:id="rId15"/>
    <sheet name="M4_C1" sheetId="16" r:id="rId16"/>
    <sheet name="M4_C2" sheetId="15" r:id="rId17"/>
    <sheet name="M4_C3" sheetId="14" r:id="rId18"/>
    <sheet name="M4_C4" sheetId="13" r:id="rId19"/>
    <sheet name="M5_C1" sheetId="1" r:id="rId20"/>
    <sheet name="M5_C2" sheetId="6" r:id="rId21"/>
    <sheet name="M5_C3" sheetId="8" r:id="rId22"/>
    <sheet name="M5_C4" sheetId="7" r:id="rId23"/>
    <sheet name="M6_C1" sheetId="9" r:id="rId24"/>
    <sheet name="M6_C2" sheetId="10" r:id="rId25"/>
    <sheet name="M7_C1" sheetId="11" r:id="rId26"/>
    <sheet name="M7_C2" sheetId="12" r:id="rId27"/>
    <sheet name="M8_C1" sheetId="30" r:id="rId28"/>
    <sheet name="Estructuras" sheetId="2" r:id="rId29"/>
  </sheets>
  <definedNames>
    <definedName name="_xlnm._FilterDatabase" localSheetId="19" hidden="1">M5_C1!$C$23:$C$43</definedName>
    <definedName name="Company_Code">M1_C6!$D$29:$D$48</definedName>
    <definedName name="Company_Names">M1_C6!$C$29:$C$48</definedName>
    <definedName name="Country">M1_C6!$G$29:$G$48</definedName>
    <definedName name="DIas">"J42:J45"</definedName>
    <definedName name="Marketcap">M1_C6!$E$29:$E$48</definedName>
    <definedName name="PrimeraCelda">M1_C6!$A$1</definedName>
    <definedName name="Rank">M1_C6!$B$29:$B$48</definedName>
    <definedName name="Stock_Price">M1_C6!$F$29:$F$48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6" i="11" l="1"/>
  <c r="D17" i="11"/>
  <c r="D18" i="11"/>
  <c r="D19" i="11"/>
  <c r="D20" i="11"/>
  <c r="D21" i="11"/>
  <c r="D22" i="11"/>
  <c r="F86" i="7"/>
  <c r="D16" i="11"/>
  <c r="E49" i="10" a="1"/>
  <c r="E49" i="10"/>
  <c r="E50" i="10" a="1"/>
  <c r="E50" i="10"/>
  <c r="E51" i="10" a="1"/>
  <c r="E51" i="10"/>
  <c r="E52" i="10" a="1"/>
  <c r="E52" i="10"/>
  <c r="E53" i="10" a="1"/>
  <c r="E53" i="10"/>
  <c r="E54" i="10" a="1"/>
  <c r="E54" i="10"/>
  <c r="E55" i="10" a="1"/>
  <c r="E55" i="10"/>
  <c r="E56" i="10" a="1"/>
  <c r="E56" i="10"/>
  <c r="E48" i="10" a="1"/>
  <c r="E48" i="10" s="1"/>
  <c r="E23" i="10" a="1"/>
  <c r="E23" i="10" s="1"/>
  <c r="F174" i="9"/>
  <c r="E174" i="9"/>
  <c r="E158" i="9"/>
  <c r="E128" i="9"/>
  <c r="D95" i="9"/>
  <c r="D96" i="9"/>
  <c r="D97" i="9"/>
  <c r="D98" i="9"/>
  <c r="G65" i="9"/>
  <c r="G66" i="9"/>
  <c r="E41" i="9"/>
  <c r="D41" i="9"/>
  <c r="E42" i="9"/>
  <c r="G26" i="9"/>
  <c r="G23" i="9"/>
  <c r="F23" i="9"/>
  <c r="F85" i="7"/>
  <c r="E85" i="7"/>
  <c r="G70" i="7"/>
  <c r="E48" i="7"/>
  <c r="I25" i="7"/>
  <c r="K98" i="8"/>
  <c r="M114" i="8"/>
  <c r="K63" i="8"/>
  <c r="K88" i="8"/>
  <c r="K62" i="8"/>
  <c r="J86" i="6"/>
  <c r="G70" i="6"/>
  <c r="F43" i="6"/>
  <c r="F56" i="6"/>
  <c r="I56" i="1"/>
  <c r="F24" i="1"/>
  <c r="G153" i="13"/>
  <c r="G177" i="13"/>
  <c r="G178" i="13"/>
  <c r="G179" i="13"/>
  <c r="G180" i="13"/>
  <c r="G181" i="13"/>
  <c r="G182" i="13"/>
  <c r="G183" i="13"/>
  <c r="G184" i="13"/>
  <c r="G185" i="13"/>
  <c r="G186" i="13"/>
  <c r="G187" i="13"/>
  <c r="G188" i="13"/>
  <c r="G176" i="13"/>
  <c r="G116" i="13"/>
  <c r="G117" i="13"/>
  <c r="G118" i="13"/>
  <c r="G119" i="13"/>
  <c r="G120" i="13"/>
  <c r="G121" i="13"/>
  <c r="G122" i="13"/>
  <c r="G123" i="13"/>
  <c r="G124" i="13"/>
  <c r="G125" i="13"/>
  <c r="G126" i="13"/>
  <c r="G127" i="13"/>
  <c r="G115" i="13"/>
  <c r="G91" i="13"/>
  <c r="D51" i="14"/>
  <c r="D52" i="14"/>
  <c r="D53" i="14"/>
  <c r="D54" i="14"/>
  <c r="D55" i="14"/>
  <c r="D56" i="14"/>
  <c r="D57" i="14"/>
  <c r="D58" i="14"/>
  <c r="D59" i="14"/>
  <c r="D60" i="14"/>
  <c r="D61" i="14"/>
  <c r="D50" i="14"/>
  <c r="J37" i="14"/>
  <c r="G111" i="15"/>
  <c r="G112" i="15"/>
  <c r="G113" i="15"/>
  <c r="G114" i="15"/>
  <c r="G115" i="15"/>
  <c r="G116" i="15"/>
  <c r="G117" i="15"/>
  <c r="G118" i="15"/>
  <c r="G119" i="15"/>
  <c r="G120" i="15"/>
  <c r="G121" i="15"/>
  <c r="G122" i="15"/>
  <c r="G123" i="15"/>
  <c r="G110" i="15"/>
  <c r="G46" i="15"/>
  <c r="G47" i="15"/>
  <c r="G48" i="15"/>
  <c r="G49" i="15"/>
  <c r="G50" i="15"/>
  <c r="G51" i="15"/>
  <c r="G52" i="15"/>
  <c r="G53" i="15"/>
  <c r="G54" i="15"/>
  <c r="G55" i="15"/>
  <c r="G56" i="15"/>
  <c r="G57" i="15"/>
  <c r="G58" i="15"/>
  <c r="G45" i="15"/>
  <c r="I251" i="17"/>
  <c r="I183" i="17"/>
  <c r="I115" i="17"/>
  <c r="I46" i="17"/>
  <c r="I108" i="18"/>
  <c r="G45" i="18"/>
  <c r="E158" i="19"/>
  <c r="E44" i="19"/>
  <c r="E103" i="19"/>
  <c r="F45" i="21"/>
  <c r="F46" i="21"/>
  <c r="F47" i="21"/>
  <c r="F48" i="21"/>
  <c r="F49" i="21"/>
  <c r="F50" i="21"/>
  <c r="F51" i="21"/>
  <c r="F52" i="21"/>
  <c r="F53" i="21"/>
  <c r="F54" i="21"/>
  <c r="F55" i="21"/>
  <c r="F56" i="21"/>
  <c r="F57" i="21"/>
  <c r="F44" i="21"/>
  <c r="H47" i="16"/>
  <c r="H97" i="30" a="1"/>
  <c r="H97" i="30" s="1"/>
  <c r="I67" i="30"/>
  <c r="I68" i="30"/>
  <c r="I69" i="30"/>
  <c r="I70" i="30"/>
  <c r="I71" i="30"/>
  <c r="I72" i="30"/>
  <c r="I73" i="30"/>
  <c r="I74" i="30"/>
  <c r="I75" i="30"/>
  <c r="I76" i="30"/>
  <c r="I65" i="30"/>
  <c r="I66" i="30"/>
  <c r="H65" i="30"/>
  <c r="H67" i="30"/>
  <c r="H68" i="30"/>
  <c r="H69" i="30"/>
  <c r="H70" i="30"/>
  <c r="H71" i="30"/>
  <c r="H72" i="30"/>
  <c r="H73" i="30"/>
  <c r="H74" i="30"/>
  <c r="H75" i="30"/>
  <c r="H76" i="30"/>
  <c r="H66" i="30"/>
  <c r="E47" i="30"/>
  <c r="E48" i="30"/>
  <c r="E49" i="30"/>
  <c r="E50" i="30"/>
  <c r="E51" i="30"/>
  <c r="E52" i="30"/>
  <c r="E53" i="30"/>
  <c r="E54" i="30"/>
  <c r="E55" i="30"/>
  <c r="E56" i="30"/>
  <c r="E57" i="30"/>
  <c r="E58" i="30"/>
  <c r="E46" i="30"/>
  <c r="E19" i="30"/>
  <c r="E20" i="30"/>
  <c r="E21" i="30"/>
  <c r="E22" i="30"/>
  <c r="E23" i="30"/>
  <c r="E24" i="30"/>
  <c r="E25" i="30"/>
  <c r="E26" i="30"/>
  <c r="E27" i="30"/>
  <c r="E28" i="30"/>
  <c r="E29" i="30"/>
  <c r="E30" i="30"/>
  <c r="E18" i="30"/>
  <c r="H24" i="12"/>
  <c r="H23" i="12"/>
  <c r="H25" i="12"/>
  <c r="H26" i="12"/>
  <c r="H27" i="12"/>
  <c r="H28" i="12"/>
  <c r="H29" i="12"/>
  <c r="H30" i="12"/>
  <c r="H31" i="12"/>
  <c r="H32" i="12"/>
  <c r="H33" i="12"/>
  <c r="H34" i="12"/>
  <c r="I55" i="11" a="1"/>
  <c r="I55" i="11" s="1"/>
  <c r="I41" i="11"/>
  <c r="H65" i="9" a="1"/>
  <c r="H65" i="9" s="1"/>
  <c r="E24" i="10" a="1"/>
  <c r="E24" i="10" s="1"/>
  <c r="E25" i="10" a="1"/>
  <c r="E25" i="10" s="1"/>
  <c r="E26" i="10" a="1"/>
  <c r="E26" i="10" s="1"/>
  <c r="E27" i="10" a="1"/>
  <c r="E27" i="10"/>
  <c r="E28" i="10" a="1"/>
  <c r="E28" i="10"/>
  <c r="E29" i="10" a="1"/>
  <c r="E29" i="10" s="1"/>
  <c r="E30" i="10" a="1"/>
  <c r="E30" i="10" s="1"/>
  <c r="D24" i="10"/>
  <c r="D25" i="10"/>
  <c r="D26" i="10"/>
  <c r="D27" i="10"/>
  <c r="D28" i="10"/>
  <c r="D29" i="10"/>
  <c r="D30" i="10"/>
  <c r="D23" i="10"/>
  <c r="K64" i="8" l="1" a="1"/>
  <c r="K64" i="8" s="1"/>
  <c r="E43" i="9"/>
  <c r="E44" i="9"/>
  <c r="E45" i="9"/>
  <c r="E46" i="9"/>
  <c r="E47" i="9"/>
  <c r="E48" i="9"/>
  <c r="D42" i="9"/>
  <c r="D43" i="9"/>
  <c r="D44" i="9"/>
  <c r="D45" i="9"/>
  <c r="D46" i="9"/>
  <c r="D47" i="9"/>
  <c r="D48" i="9"/>
  <c r="H24" i="9"/>
  <c r="H25" i="9"/>
  <c r="H26" i="9"/>
  <c r="H27" i="9"/>
  <c r="H28" i="9"/>
  <c r="H29" i="9"/>
  <c r="H30" i="9"/>
  <c r="H31" i="9"/>
  <c r="H32" i="9"/>
  <c r="H33" i="9"/>
  <c r="H34" i="9"/>
  <c r="G24" i="9"/>
  <c r="G25" i="9"/>
  <c r="G27" i="9"/>
  <c r="G28" i="9"/>
  <c r="G29" i="9"/>
  <c r="G30" i="9"/>
  <c r="G31" i="9"/>
  <c r="G32" i="9"/>
  <c r="G33" i="9"/>
  <c r="G34" i="9"/>
  <c r="H23" i="9"/>
  <c r="F24" i="9"/>
  <c r="F25" i="9"/>
  <c r="F26" i="9"/>
  <c r="F27" i="9"/>
  <c r="F28" i="9"/>
  <c r="F29" i="9"/>
  <c r="F30" i="9"/>
  <c r="F31" i="9"/>
  <c r="F32" i="9"/>
  <c r="F33" i="9"/>
  <c r="F34" i="9"/>
  <c r="E49" i="7" l="1"/>
  <c r="E50" i="7"/>
  <c r="E51" i="7"/>
  <c r="E52" i="7"/>
  <c r="E53" i="7"/>
  <c r="E54" i="7"/>
  <c r="E55" i="7"/>
  <c r="E56" i="7"/>
  <c r="E57" i="7"/>
  <c r="E58" i="7"/>
  <c r="E59" i="7"/>
  <c r="E60" i="7"/>
  <c r="E61" i="7"/>
  <c r="E62" i="7"/>
  <c r="K87" i="8"/>
  <c r="K86" i="8"/>
  <c r="K27" i="8" a="1"/>
  <c r="K27" i="8" s="1"/>
  <c r="D151" i="6"/>
  <c r="E151" i="6"/>
  <c r="F151" i="6"/>
  <c r="G151" i="6"/>
  <c r="H151" i="6"/>
  <c r="I151" i="6"/>
  <c r="J151" i="6"/>
  <c r="K151" i="6"/>
  <c r="L151" i="6"/>
  <c r="C151" i="6"/>
  <c r="D148" i="6"/>
  <c r="E148" i="6"/>
  <c r="F148" i="6"/>
  <c r="G148" i="6"/>
  <c r="H148" i="6"/>
  <c r="I148" i="6"/>
  <c r="J148" i="6"/>
  <c r="K148" i="6"/>
  <c r="L148" i="6"/>
  <c r="C148" i="6"/>
  <c r="C139" i="6"/>
  <c r="F44" i="6"/>
  <c r="F45" i="6"/>
  <c r="F46" i="6"/>
  <c r="F47" i="6"/>
  <c r="F48" i="6"/>
  <c r="F49" i="6"/>
  <c r="F50" i="6"/>
  <c r="F51" i="6"/>
  <c r="F52" i="6"/>
  <c r="F53" i="6"/>
  <c r="F54" i="6"/>
  <c r="F55" i="6"/>
  <c r="F57" i="6"/>
  <c r="F58" i="6"/>
  <c r="F59" i="6"/>
  <c r="F60" i="6"/>
  <c r="F61" i="6"/>
  <c r="F62" i="6"/>
  <c r="L25" i="6"/>
  <c r="M24" i="6"/>
  <c r="D43" i="29"/>
  <c r="D44" i="29"/>
  <c r="D45" i="29"/>
  <c r="D46" i="29"/>
  <c r="D47" i="29"/>
  <c r="D48" i="29"/>
  <c r="D49" i="29"/>
  <c r="D50" i="29"/>
  <c r="D51" i="29"/>
  <c r="D52" i="29"/>
  <c r="D42" i="29"/>
  <c r="G44" i="29"/>
  <c r="D18" i="29"/>
  <c r="D19" i="29"/>
  <c r="D20" i="29"/>
  <c r="D21" i="29"/>
  <c r="D22" i="29"/>
  <c r="D23" i="29"/>
  <c r="D24" i="29"/>
  <c r="D25" i="29"/>
  <c r="D26" i="29"/>
  <c r="D27" i="29"/>
  <c r="D28" i="29"/>
  <c r="D17" i="29"/>
  <c r="F17" i="29"/>
  <c r="G154" i="13"/>
  <c r="G155" i="13"/>
  <c r="G156" i="13"/>
  <c r="G157" i="13"/>
  <c r="G158" i="13"/>
  <c r="G159" i="13"/>
  <c r="G160" i="13"/>
  <c r="G161" i="13"/>
  <c r="G162" i="13"/>
  <c r="G163" i="13"/>
  <c r="G164" i="13"/>
  <c r="G165" i="13"/>
  <c r="G92" i="13"/>
  <c r="G93" i="13"/>
  <c r="G94" i="13"/>
  <c r="G95" i="13"/>
  <c r="G96" i="13"/>
  <c r="G97" i="13"/>
  <c r="G98" i="13"/>
  <c r="G99" i="13"/>
  <c r="G100" i="13"/>
  <c r="G101" i="13"/>
  <c r="G102" i="13"/>
  <c r="G103" i="13"/>
  <c r="F25" i="13"/>
  <c r="F26" i="13"/>
  <c r="F27" i="13"/>
  <c r="F28" i="13"/>
  <c r="F29" i="13"/>
  <c r="F30" i="13"/>
  <c r="F31" i="13"/>
  <c r="F32" i="13"/>
  <c r="F33" i="13"/>
  <c r="F34" i="13"/>
  <c r="F35" i="13"/>
  <c r="F36" i="13"/>
  <c r="F24" i="13"/>
  <c r="J27" i="14"/>
  <c r="J28" i="14"/>
  <c r="J29" i="14"/>
  <c r="J30" i="14"/>
  <c r="J31" i="14"/>
  <c r="J32" i="14"/>
  <c r="J33" i="14"/>
  <c r="J34" i="14"/>
  <c r="J35" i="14"/>
  <c r="J36" i="14"/>
  <c r="J38" i="14"/>
  <c r="J26" i="14"/>
  <c r="I27" i="14"/>
  <c r="I28" i="14"/>
  <c r="I29" i="14"/>
  <c r="I30" i="14"/>
  <c r="I31" i="14"/>
  <c r="I32" i="14"/>
  <c r="I33" i="14"/>
  <c r="I34" i="14"/>
  <c r="I35" i="14"/>
  <c r="I36" i="14"/>
  <c r="I37" i="14"/>
  <c r="I38" i="14"/>
  <c r="I26" i="14"/>
  <c r="H27" i="14"/>
  <c r="H28" i="14"/>
  <c r="H29" i="14"/>
  <c r="H30" i="14"/>
  <c r="H31" i="14"/>
  <c r="H32" i="14"/>
  <c r="H33" i="14"/>
  <c r="H34" i="14"/>
  <c r="H35" i="14"/>
  <c r="H36" i="14"/>
  <c r="H37" i="14"/>
  <c r="H38" i="14"/>
  <c r="H26" i="14"/>
  <c r="H25" i="15"/>
  <c r="H26" i="15"/>
  <c r="H27" i="15"/>
  <c r="H28" i="15"/>
  <c r="H29" i="15"/>
  <c r="H30" i="15"/>
  <c r="H31" i="15"/>
  <c r="H32" i="15"/>
  <c r="H24" i="15"/>
  <c r="H46" i="16"/>
  <c r="B12" i="16"/>
  <c r="I228" i="17"/>
  <c r="I158" i="17"/>
  <c r="I92" i="17"/>
  <c r="I85" i="18"/>
  <c r="G24" i="18"/>
  <c r="F138" i="19"/>
  <c r="E84" i="19"/>
  <c r="E24" i="19"/>
  <c r="D151" i="20"/>
  <c r="D84" i="20"/>
  <c r="D25" i="20"/>
  <c r="D26" i="20"/>
  <c r="D27" i="20"/>
  <c r="D28" i="20"/>
  <c r="D29" i="20"/>
  <c r="D30" i="20"/>
  <c r="D31" i="20"/>
  <c r="D32" i="20"/>
  <c r="D33" i="20"/>
  <c r="D24" i="20"/>
  <c r="F149" i="21"/>
  <c r="F24" i="21"/>
  <c r="D24" i="22"/>
  <c r="D67" i="23"/>
  <c r="E24" i="23"/>
  <c r="E70" i="26"/>
  <c r="E71" i="26"/>
  <c r="E72" i="26"/>
  <c r="E73" i="26"/>
  <c r="E74" i="26"/>
  <c r="E75" i="26"/>
  <c r="E76" i="26"/>
  <c r="E77" i="26"/>
  <c r="E78" i="26"/>
  <c r="E79" i="26"/>
  <c r="E80" i="26"/>
  <c r="E81" i="26"/>
  <c r="D71" i="26"/>
  <c r="D72" i="26"/>
  <c r="D73" i="26"/>
  <c r="D74" i="26"/>
  <c r="D75" i="26"/>
  <c r="D76" i="26"/>
  <c r="D77" i="26"/>
  <c r="D78" i="26"/>
  <c r="D79" i="26"/>
  <c r="D80" i="26"/>
  <c r="D81" i="26"/>
  <c r="D70" i="26"/>
  <c r="D45" i="26"/>
  <c r="D46" i="26"/>
  <c r="D47" i="26"/>
  <c r="D48" i="26"/>
  <c r="D49" i="26"/>
  <c r="D50" i="26"/>
  <c r="D51" i="26"/>
  <c r="D52" i="26"/>
  <c r="D53" i="26"/>
  <c r="D54" i="26"/>
  <c r="D55" i="26"/>
  <c r="D56" i="26"/>
  <c r="D24" i="26"/>
  <c r="D23" i="26"/>
  <c r="D22" i="26"/>
  <c r="D25" i="26"/>
  <c r="D26" i="26"/>
  <c r="D27" i="26"/>
  <c r="D28" i="26"/>
  <c r="D29" i="26"/>
  <c r="D30" i="26"/>
  <c r="D31" i="26"/>
  <c r="D32" i="26"/>
  <c r="D21" i="26"/>
  <c r="H53" i="28"/>
  <c r="H54" i="28"/>
  <c r="H55" i="28"/>
  <c r="H56" i="28"/>
  <c r="H57" i="28"/>
  <c r="H58" i="28"/>
  <c r="H59" i="28"/>
  <c r="H60" i="28"/>
  <c r="H61" i="28"/>
  <c r="H52" i="28"/>
  <c r="F24" i="28"/>
  <c r="D23" i="28"/>
  <c r="D24" i="28"/>
  <c r="D25" i="28"/>
  <c r="D26" i="28"/>
  <c r="D27" i="28"/>
  <c r="D28" i="28"/>
  <c r="D29" i="28"/>
  <c r="D30" i="28"/>
  <c r="D31" i="28"/>
  <c r="D22" i="28"/>
  <c r="F40" i="25" l="1"/>
  <c r="F41" i="25"/>
  <c r="F42" i="25"/>
  <c r="F43" i="25"/>
  <c r="F44" i="25"/>
  <c r="F45" i="25"/>
  <c r="F46" i="25"/>
  <c r="F47" i="25"/>
  <c r="F48" i="25"/>
  <c r="F49" i="25"/>
  <c r="F39" i="25"/>
  <c r="F17" i="25"/>
  <c r="F18" i="25"/>
  <c r="F19" i="25"/>
  <c r="F20" i="25"/>
  <c r="F21" i="25"/>
  <c r="F22" i="25"/>
  <c r="F23" i="25"/>
  <c r="F24" i="25"/>
  <c r="F25" i="25"/>
  <c r="F26" i="25"/>
  <c r="F16" i="25"/>
  <c r="G27" i="14"/>
  <c r="G28" i="14"/>
  <c r="G29" i="14"/>
  <c r="G30" i="14"/>
  <c r="G31" i="14"/>
  <c r="G32" i="14"/>
  <c r="G33" i="14"/>
  <c r="G34" i="14"/>
  <c r="G35" i="14"/>
  <c r="G36" i="14"/>
  <c r="G37" i="14"/>
  <c r="G38" i="14"/>
  <c r="G26" i="14"/>
  <c r="H90" i="15"/>
  <c r="H91" i="15"/>
  <c r="H92" i="15"/>
  <c r="H93" i="15"/>
  <c r="H94" i="15"/>
  <c r="H95" i="15"/>
  <c r="H96" i="15"/>
  <c r="H97" i="15"/>
  <c r="H89" i="15"/>
  <c r="H112" i="16"/>
  <c r="H113" i="16"/>
  <c r="H114" i="16"/>
  <c r="H115" i="16"/>
  <c r="H116" i="16"/>
  <c r="H117" i="16"/>
  <c r="H118" i="16"/>
  <c r="H119" i="16"/>
  <c r="H120" i="16"/>
  <c r="H121" i="16"/>
  <c r="H122" i="16"/>
  <c r="H111" i="16"/>
  <c r="H80" i="16"/>
  <c r="H81" i="16"/>
  <c r="H82" i="16"/>
  <c r="H83" i="16"/>
  <c r="H84" i="16"/>
  <c r="H85" i="16"/>
  <c r="H86" i="16"/>
  <c r="H87" i="16"/>
  <c r="H88" i="16"/>
  <c r="H89" i="16"/>
  <c r="H90" i="16"/>
  <c r="H79" i="16"/>
  <c r="H48" i="16"/>
  <c r="H49" i="16"/>
  <c r="H50" i="16"/>
  <c r="H51" i="16"/>
  <c r="H52" i="16"/>
  <c r="H53" i="16"/>
  <c r="H54" i="16"/>
  <c r="H55" i="16"/>
  <c r="H56" i="16"/>
  <c r="H57" i="16"/>
  <c r="I23" i="17"/>
  <c r="D152" i="20"/>
  <c r="D153" i="20"/>
  <c r="D154" i="20"/>
  <c r="D155" i="20"/>
  <c r="D156" i="20"/>
  <c r="D157" i="20"/>
  <c r="D85" i="20"/>
  <c r="D86" i="20"/>
  <c r="D87" i="20"/>
  <c r="D88" i="20"/>
  <c r="D89" i="20"/>
  <c r="D90" i="20"/>
  <c r="D91" i="20"/>
  <c r="D92" i="20"/>
  <c r="D93" i="20"/>
  <c r="D94" i="20"/>
  <c r="D95" i="20"/>
  <c r="D96" i="20"/>
  <c r="D97" i="20"/>
  <c r="E45" i="20"/>
  <c r="E46" i="20"/>
  <c r="E47" i="20"/>
  <c r="E48" i="20"/>
  <c r="E49" i="20"/>
  <c r="E50" i="20"/>
  <c r="E51" i="20"/>
  <c r="E44" i="20"/>
  <c r="F150" i="21"/>
  <c r="F151" i="21"/>
  <c r="F152" i="21"/>
  <c r="F153" i="21"/>
  <c r="F154" i="21"/>
  <c r="F155" i="21"/>
  <c r="F156" i="21"/>
  <c r="F157" i="21"/>
  <c r="F158" i="21"/>
  <c r="F89" i="21"/>
  <c r="F90" i="21"/>
  <c r="F91" i="21"/>
  <c r="F92" i="21"/>
  <c r="F93" i="21"/>
  <c r="F94" i="21"/>
  <c r="F95" i="21"/>
  <c r="F96" i="21"/>
  <c r="F97" i="21"/>
  <c r="F88" i="21"/>
  <c r="F25" i="21"/>
  <c r="F26" i="21"/>
  <c r="F27" i="21"/>
  <c r="F28" i="21"/>
  <c r="F29" i="21"/>
  <c r="F30" i="21"/>
  <c r="F31" i="21"/>
  <c r="F32" i="21"/>
  <c r="F33" i="21"/>
  <c r="D25" i="22"/>
  <c r="D26" i="22"/>
  <c r="D27" i="22"/>
  <c r="D28" i="22"/>
  <c r="D29" i="22"/>
  <c r="D30" i="22"/>
  <c r="D31" i="22"/>
  <c r="D32" i="22"/>
  <c r="D33" i="22"/>
  <c r="D68" i="23"/>
  <c r="D69" i="23"/>
  <c r="D70" i="23"/>
  <c r="D71" i="23"/>
  <c r="D72" i="23"/>
  <c r="D73" i="23"/>
  <c r="D74" i="23"/>
  <c r="D75" i="23"/>
  <c r="D76" i="23"/>
  <c r="E110" i="23"/>
  <c r="E111" i="23"/>
  <c r="E112" i="23"/>
  <c r="E113" i="23"/>
  <c r="E114" i="23"/>
  <c r="E115" i="23"/>
  <c r="E116" i="23"/>
  <c r="E117" i="23"/>
  <c r="E118" i="23"/>
  <c r="E109" i="23"/>
  <c r="D152" i="23"/>
  <c r="D153" i="23"/>
  <c r="D154" i="23"/>
  <c r="D155" i="23"/>
  <c r="D156" i="23"/>
  <c r="D157" i="23"/>
  <c r="D158" i="23"/>
  <c r="D159" i="23"/>
  <c r="D160" i="23"/>
  <c r="D151" i="23"/>
  <c r="E25" i="23"/>
  <c r="E26" i="23"/>
  <c r="E27" i="23"/>
  <c r="E28" i="23"/>
  <c r="E29" i="23"/>
  <c r="E30" i="23"/>
  <c r="E31" i="23"/>
  <c r="E32" i="23"/>
  <c r="E33" i="23"/>
  <c r="B24" i="16"/>
  <c r="E86" i="7"/>
  <c r="E87" i="7"/>
  <c r="F87" i="7"/>
  <c r="E88" i="7"/>
  <c r="F88" i="7"/>
  <c r="E89" i="7"/>
  <c r="F89" i="7"/>
  <c r="E90" i="7"/>
  <c r="F90" i="7"/>
  <c r="E91" i="7"/>
  <c r="F91" i="7"/>
  <c r="E92" i="7"/>
  <c r="F92" i="7"/>
  <c r="E93" i="7"/>
  <c r="F93" i="7"/>
  <c r="E94" i="7"/>
  <c r="F94" i="7"/>
  <c r="E95" i="7"/>
  <c r="F95" i="7"/>
  <c r="E96" i="7"/>
  <c r="F96" i="7"/>
  <c r="E97" i="7"/>
  <c r="F97" i="7"/>
  <c r="E98" i="7"/>
  <c r="F98" i="7"/>
  <c r="E99" i="7"/>
  <c r="F99" i="7"/>
  <c r="C174" i="6" l="1"/>
  <c r="B7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<sst xmlns="http://schemas.openxmlformats.org/spreadsheetml/2006/main" count="3537" uniqueCount="1224">
  <si>
    <t>Instagram</t>
  </si>
  <si>
    <t>cristiano</t>
  </si>
  <si>
    <t>leomessi</t>
  </si>
  <si>
    <t>selenagomez</t>
  </si>
  <si>
    <t>kyliejenner</t>
  </si>
  <si>
    <t>therock</t>
  </si>
  <si>
    <t>arianagrande</t>
  </si>
  <si>
    <t>kimkardashian</t>
  </si>
  <si>
    <t>beyonce</t>
  </si>
  <si>
    <t>khloekardashian</t>
  </si>
  <si>
    <t>nike</t>
  </si>
  <si>
    <t>justinbieber</t>
  </si>
  <si>
    <t>kendalljenner</t>
  </si>
  <si>
    <t>natgeo</t>
  </si>
  <si>
    <t>taylorswift</t>
  </si>
  <si>
    <t>virat.kohli</t>
  </si>
  <si>
    <t>jlo</t>
  </si>
  <si>
    <t>kourtneykardash</t>
  </si>
  <si>
    <t>nickiminaj</t>
  </si>
  <si>
    <t>mileycyrus</t>
  </si>
  <si>
    <t>Cuentas de Instagram con más seguidores en todo el mundo 2023</t>
  </si>
  <si>
    <t>Cuentas de Instagram con más seguidores en todo el mundo hasta julio de 2023 (en millones)</t>
  </si>
  <si>
    <t>Cuenta</t>
  </si>
  <si>
    <t>Seguidores</t>
  </si>
  <si>
    <t>Tema</t>
  </si>
  <si>
    <t>Fórmulas y Funciones</t>
  </si>
  <si>
    <t>Qué son las Fórmulas y Funciones</t>
  </si>
  <si>
    <t>Referencias (relativas, absolutas y mixtas)</t>
  </si>
  <si>
    <t>Conceptos Básicos</t>
  </si>
  <si>
    <t>Nombrar rangos</t>
  </si>
  <si>
    <t>Funciones de Texto</t>
  </si>
  <si>
    <t>Derecha, Izquierda y Extrae</t>
  </si>
  <si>
    <t>Largo, Encontrar y Sustituir</t>
  </si>
  <si>
    <t>Concat, Mayusc, Minusc y Nompropio</t>
  </si>
  <si>
    <t>Contar.si y Contar.si.conjunto</t>
  </si>
  <si>
    <t>Contar, Contara y Contar.blanco</t>
  </si>
  <si>
    <t>Sumar.si, Sumar.si.conjunto, Promedio.si y Promedio.si.conjunto</t>
  </si>
  <si>
    <t>Funciones Estadísticas y Matemáticas</t>
  </si>
  <si>
    <t>Funciones de Fecha y Hora</t>
  </si>
  <si>
    <t>Fecha.mes y Fin.mes</t>
  </si>
  <si>
    <t>Sifecha</t>
  </si>
  <si>
    <t>Dia.lab, Dias.lab y Dias.lab.intl</t>
  </si>
  <si>
    <t>Ahora, Hoy, Dia, Mes y Año</t>
  </si>
  <si>
    <t>Búsqueda y Referencia</t>
  </si>
  <si>
    <t>Buscar</t>
  </si>
  <si>
    <t>Buscarv</t>
  </si>
  <si>
    <t>Indice y Coincidir</t>
  </si>
  <si>
    <t>Buscarv y Buscarh</t>
  </si>
  <si>
    <t>Buscarx</t>
  </si>
  <si>
    <t>Funciones Lógicas</t>
  </si>
  <si>
    <t>Si</t>
  </si>
  <si>
    <t>Si.conjunto</t>
  </si>
  <si>
    <t>Si, Y, O</t>
  </si>
  <si>
    <t>Corrección de erorres</t>
  </si>
  <si>
    <t>Si.error</t>
  </si>
  <si>
    <t>Q1</t>
  </si>
  <si>
    <t>Q2</t>
  </si>
  <si>
    <t>Q3</t>
  </si>
  <si>
    <t>Q4</t>
  </si>
  <si>
    <t/>
  </si>
  <si>
    <t>Ventas de vehículos de Tesla por trimestre YTD Q3 2023</t>
  </si>
  <si>
    <t>Número de vehículos de Tesla entregados en todo el mundo desde el primer trimestre de 2016 hasta el tercer trimestre de 2023 (en miles de unidades)</t>
  </si>
  <si>
    <t>Año/Trimestre</t>
  </si>
  <si>
    <t>Año</t>
  </si>
  <si>
    <t>Trimestre</t>
  </si>
  <si>
    <t>Vehículos</t>
  </si>
  <si>
    <t>Errores comunes y causas (errores circulares, N/D, DIV/O y NOMBRE)</t>
  </si>
  <si>
    <t>Obtención de porcentajes (vs total y de variación)</t>
  </si>
  <si>
    <t>Clave</t>
  </si>
  <si>
    <t>Módulo</t>
  </si>
  <si>
    <t>No. Módulo</t>
  </si>
  <si>
    <t>1 Conditional Formatting</t>
  </si>
  <si>
    <t>2 PivotTables</t>
  </si>
  <si>
    <t>3 Paste Special</t>
  </si>
  <si>
    <t>4 Add Multiple Rows</t>
  </si>
  <si>
    <t>5 Absolute References ($)</t>
  </si>
  <si>
    <t>6 Print Optimisation</t>
  </si>
  <si>
    <t>7 Extend Formula Across/Down</t>
  </si>
  <si>
    <t>8 Flash Fill</t>
  </si>
  <si>
    <t>9 INDEX-MATCH</t>
  </si>
  <si>
    <t>10 Filters</t>
  </si>
  <si>
    <t>11 SUM</t>
  </si>
  <si>
    <t>12 Ctrl Z</t>
  </si>
  <si>
    <t>13 Format Cells</t>
  </si>
  <si>
    <t>14 VLOOKUP</t>
  </si>
  <si>
    <t>15 Ctrl C</t>
  </si>
  <si>
    <t>16 Ctrl V</t>
  </si>
  <si>
    <t>17 Basic Arithmetic</t>
  </si>
  <si>
    <t>18 COUNT and COUNTA</t>
  </si>
  <si>
    <t>19 Remove Duplicates</t>
  </si>
  <si>
    <t>20 COUNTIF</t>
  </si>
  <si>
    <t>21 Options Advanced</t>
  </si>
  <si>
    <t>22 Charts</t>
  </si>
  <si>
    <t>23 Freeze Panes</t>
  </si>
  <si>
    <t>24 SUMIF</t>
  </si>
  <si>
    <t>25 Protect Sheet</t>
  </si>
  <si>
    <t>26 F4</t>
  </si>
  <si>
    <t>27 Sort</t>
  </si>
  <si>
    <t>28 Save As (F12)</t>
  </si>
  <si>
    <t>29 Move or Copy Column/Row</t>
  </si>
  <si>
    <t>30 Ctrl (Arrows, PG Up, Etc)</t>
  </si>
  <si>
    <t>31 IF</t>
  </si>
  <si>
    <t>32 Linking Cells (EG '=A1=B1')</t>
  </si>
  <si>
    <t>33 Wrap Text</t>
  </si>
  <si>
    <t>34 IF and ISERROR</t>
  </si>
  <si>
    <t>35 Data Validation</t>
  </si>
  <si>
    <t>36 Use of '(Apostrophe)</t>
  </si>
  <si>
    <t>37 Resize Columns/Rows</t>
  </si>
  <si>
    <t>38 F2</t>
  </si>
  <si>
    <t>39 Alt Enter</t>
  </si>
  <si>
    <t>40 Number Formats</t>
  </si>
  <si>
    <t>41 Layout, Design &amp; Formatting</t>
  </si>
  <si>
    <t>42 Redo (Ctrl Y)</t>
  </si>
  <si>
    <t>43 Cumulative Sum</t>
  </si>
  <si>
    <t>44 Find and Replace</t>
  </si>
  <si>
    <t>45 &amp; and CONCATENATE</t>
  </si>
  <si>
    <t>46 Extend Selection</t>
  </si>
  <si>
    <t>47 Slicers</t>
  </si>
  <si>
    <t>48 Ctrl Tab</t>
  </si>
  <si>
    <t>49 MAX, MIN</t>
  </si>
  <si>
    <t>50 Comments</t>
  </si>
  <si>
    <t>51 Forecast</t>
  </si>
  <si>
    <t>52 Insert Symbols</t>
  </si>
  <si>
    <t>53 FIND</t>
  </si>
  <si>
    <t>54 Customise Status Bar</t>
  </si>
  <si>
    <t>55 LEN (and LEFT/MID/RIGHT)</t>
  </si>
  <si>
    <t>56 Average</t>
  </si>
  <si>
    <t>57 Ctrl Shift A</t>
  </si>
  <si>
    <t>58 Goal Seek/What-If</t>
  </si>
  <si>
    <t>59 Select All</t>
  </si>
  <si>
    <t>60 Precedents &amp; Dependents</t>
  </si>
  <si>
    <t>61 UPPER, PROPER, Etc</t>
  </si>
  <si>
    <t>62 Power Pivots</t>
  </si>
  <si>
    <t>63 Templates</t>
  </si>
  <si>
    <t>64 Quick Access</t>
  </si>
  <si>
    <t>65 Ctrl P</t>
  </si>
  <si>
    <t>66 Group/Ungroup</t>
  </si>
  <si>
    <t>67 Customising the Ribbon</t>
  </si>
  <si>
    <t>68 Ctrl S</t>
  </si>
  <si>
    <t>69 Sparkline</t>
  </si>
  <si>
    <t>70 Copy-Drag Worksheet</t>
  </si>
  <si>
    <t>71 Macros &amp; VBA</t>
  </si>
  <si>
    <t>72 AND</t>
  </si>
  <si>
    <t>73 Rotate Text</t>
  </si>
  <si>
    <t>74 Insert (Ctrl Shift +)</t>
  </si>
  <si>
    <t>75 Autocorrect</t>
  </si>
  <si>
    <t>76 Right-Click on Cell</t>
  </si>
  <si>
    <t>77 AutoSum (Alt =)</t>
  </si>
  <si>
    <t>78 Text to Columns</t>
  </si>
  <si>
    <t>79 Ctrl Space</t>
  </si>
  <si>
    <t>80 RANDBETWEEN</t>
  </si>
  <si>
    <t>81 Tables</t>
  </si>
  <si>
    <t>82 Named Ranges/Name Manager</t>
  </si>
  <si>
    <t>83 Double Click to Rename Sheet</t>
  </si>
  <si>
    <t>84 Date and Time Functions</t>
  </si>
  <si>
    <t>85 Calculate Discounts/Growth</t>
  </si>
  <si>
    <t>86 Double Click Format Printer</t>
  </si>
  <si>
    <t>87 Timeline</t>
  </si>
  <si>
    <t>88 New Workbook (Shift-F11)</t>
  </si>
  <si>
    <t>89 Ctrl 5 (Strikethrough)</t>
  </si>
  <si>
    <t>90 INDIRECT</t>
  </si>
  <si>
    <t>91 Italicise and Embolden</t>
  </si>
  <si>
    <t>92 Rounding</t>
  </si>
  <si>
    <t>93 Waterfall Chart</t>
  </si>
  <si>
    <t>94 3D Sum</t>
  </si>
  <si>
    <t>95 Get External Data (From Web)</t>
  </si>
  <si>
    <t>96 Show Formulas (CTRL ¬)</t>
  </si>
  <si>
    <t>97 Ctrl U [Underline]</t>
  </si>
  <si>
    <t>98 Tell Me What You Want to Do</t>
  </si>
  <si>
    <t>99 Shift Space</t>
  </si>
  <si>
    <t>100 Delete Row (CTRL 9)</t>
  </si>
  <si>
    <t>Inglés</t>
  </si>
  <si>
    <t>Español</t>
  </si>
  <si>
    <t>Formato Condicional</t>
  </si>
  <si>
    <t>Tablas dinámicas</t>
  </si>
  <si>
    <t>Pegado Especial</t>
  </si>
  <si>
    <t>Añadir Múltiples filas</t>
  </si>
  <si>
    <t>Referencias absolutas</t>
  </si>
  <si>
    <t>Curso</t>
  </si>
  <si>
    <t>SI</t>
  </si>
  <si>
    <t>Curso Actual</t>
  </si>
  <si>
    <t>NO</t>
  </si>
  <si>
    <t>Optimización de Impresión</t>
  </si>
  <si>
    <t>Arrastrar Fórmula</t>
  </si>
  <si>
    <t>Relleno rápido</t>
  </si>
  <si>
    <t>Atajos (desplazamiento, selección, edición) y Relleno Rápido</t>
  </si>
  <si>
    <t>Filtros</t>
  </si>
  <si>
    <t>Suma</t>
  </si>
  <si>
    <t>Ctrl+Z</t>
  </si>
  <si>
    <t>Ctrl+C</t>
  </si>
  <si>
    <t>Ctrl+V</t>
  </si>
  <si>
    <t>Formato de celdas</t>
  </si>
  <si>
    <t>Aritmética básica</t>
  </si>
  <si>
    <t>Contar y Contara</t>
  </si>
  <si>
    <t>Eliminar duplicados</t>
  </si>
  <si>
    <t>Contar.si</t>
  </si>
  <si>
    <t>Opciones Avanzadas</t>
  </si>
  <si>
    <t>Gráficos</t>
  </si>
  <si>
    <t>Congelar paneles</t>
  </si>
  <si>
    <t>Sumar.si</t>
  </si>
  <si>
    <t>Proteger hoja</t>
  </si>
  <si>
    <t>F4</t>
  </si>
  <si>
    <t>Ordenar</t>
  </si>
  <si>
    <t>Guardar como</t>
  </si>
  <si>
    <t>Mover o Copiar Columna</t>
  </si>
  <si>
    <t>Ctrl (flechas, av pag, etc.)</t>
  </si>
  <si>
    <t>Referenciar celdas</t>
  </si>
  <si>
    <t>Ajustar texto</t>
  </si>
  <si>
    <t>Si y Si.error</t>
  </si>
  <si>
    <t>Validación de datos</t>
  </si>
  <si>
    <t>Uso de apóstrofe</t>
  </si>
  <si>
    <t>Ajustar tamaño de columnas y filas</t>
  </si>
  <si>
    <t>F2</t>
  </si>
  <si>
    <t>Alt+Enter</t>
  </si>
  <si>
    <t>Formato de números</t>
  </si>
  <si>
    <t>Diseño y formato de hojas</t>
  </si>
  <si>
    <t>Rehacer (Ctrl+y)</t>
  </si>
  <si>
    <t>Suma acumulada</t>
  </si>
  <si>
    <t>Buscar y reemplazar</t>
  </si>
  <si>
    <t>&amp; y concatenar</t>
  </si>
  <si>
    <t>Extender selección</t>
  </si>
  <si>
    <t>Segmentadores</t>
  </si>
  <si>
    <t>Ctrl+Tabulador</t>
  </si>
  <si>
    <t>Max, Min</t>
  </si>
  <si>
    <t>Comentarios</t>
  </si>
  <si>
    <t>Pronóstico</t>
  </si>
  <si>
    <t>Insertar símbolos</t>
  </si>
  <si>
    <t>Encontrar</t>
  </si>
  <si>
    <t>Personalizar barra de estado</t>
  </si>
  <si>
    <t>Largo (izquierda, extrae, derecha)</t>
  </si>
  <si>
    <t>Promedio</t>
  </si>
  <si>
    <t>Ctrl+Shift+A</t>
  </si>
  <si>
    <t>Buscar Objetivo (Análisis de hipótesis)</t>
  </si>
  <si>
    <t>Seleccionar todo</t>
  </si>
  <si>
    <t>Precedentes y Dependientes</t>
  </si>
  <si>
    <t>Mayusc, Minusc, etc.</t>
  </si>
  <si>
    <t>Power Pivot</t>
  </si>
  <si>
    <t>Plantillas</t>
  </si>
  <si>
    <t>Acceso rápido</t>
  </si>
  <si>
    <t>Ctrl+P</t>
  </si>
  <si>
    <t>Ctrl+S</t>
  </si>
  <si>
    <t>Agrupar y Desagrupar</t>
  </si>
  <si>
    <t>Personalizar la cinta</t>
  </si>
  <si>
    <t>Minigráficos</t>
  </si>
  <si>
    <t>Copiar y arrastrar hoja</t>
  </si>
  <si>
    <t>Macros y VBA</t>
  </si>
  <si>
    <t>Y</t>
  </si>
  <si>
    <t>Rotar texto</t>
  </si>
  <si>
    <t>Insertar (Ctrl+Shift+)</t>
  </si>
  <si>
    <t>Autocorrector</t>
  </si>
  <si>
    <t>Clic derecho en celda</t>
  </si>
  <si>
    <t>Autosuma</t>
  </si>
  <si>
    <t>Texto a columnas</t>
  </si>
  <si>
    <t>Ctrl+Espacio</t>
  </si>
  <si>
    <t>Aleatorio.entre</t>
  </si>
  <si>
    <t>Tablas</t>
  </si>
  <si>
    <t>Nombras rangos/Administrador de nombres</t>
  </si>
  <si>
    <t>Doble clic para renombrar hoja</t>
  </si>
  <si>
    <t>Funciones de fecha y hora</t>
  </si>
  <si>
    <t>Calcular descuentos e incremento</t>
  </si>
  <si>
    <t>Doble clic para formato de impresión</t>
  </si>
  <si>
    <t>Escala de tiempo</t>
  </si>
  <si>
    <t>Nuevo libro</t>
  </si>
  <si>
    <t>Ctrl+5</t>
  </si>
  <si>
    <t>Indirecto</t>
  </si>
  <si>
    <t>Itálica y negritas</t>
  </si>
  <si>
    <t>Redondear</t>
  </si>
  <si>
    <t>Gráfico de cascada</t>
  </si>
  <si>
    <t>Suma 3D</t>
  </si>
  <si>
    <t>Obtener datos externos</t>
  </si>
  <si>
    <t>Mostrar fórmulas (Ctrl¬)</t>
  </si>
  <si>
    <t>Ctrl+U (subrayar)</t>
  </si>
  <si>
    <t>Buscador de Microsoft</t>
  </si>
  <si>
    <t>Shift+Espacio</t>
  </si>
  <si>
    <t>Eliminar fila (Ctrl+9)</t>
  </si>
  <si>
    <t>Temas</t>
  </si>
  <si>
    <t>Fundamentos</t>
  </si>
  <si>
    <t>Tablas dinámicas y Análisis de datos</t>
  </si>
  <si>
    <t>Power Pivot y Power Query</t>
  </si>
  <si>
    <t>%</t>
  </si>
  <si>
    <t>M1C1</t>
  </si>
  <si>
    <t>M1C2</t>
  </si>
  <si>
    <t>M1C3</t>
  </si>
  <si>
    <t>M1C4</t>
  </si>
  <si>
    <t>M1C5</t>
  </si>
  <si>
    <t>M1C6</t>
  </si>
  <si>
    <t>M2C1</t>
  </si>
  <si>
    <t>M2C2</t>
  </si>
  <si>
    <t>M2C3</t>
  </si>
  <si>
    <t>M2C4</t>
  </si>
  <si>
    <t>M3C1</t>
  </si>
  <si>
    <t>M3C2</t>
  </si>
  <si>
    <t>M3C3</t>
  </si>
  <si>
    <t>M4C1</t>
  </si>
  <si>
    <t>M4C2</t>
  </si>
  <si>
    <t>M4C3</t>
  </si>
  <si>
    <t>M4C4</t>
  </si>
  <si>
    <t>M5C1</t>
  </si>
  <si>
    <t>M5C2</t>
  </si>
  <si>
    <t>M5C3</t>
  </si>
  <si>
    <t>M5C4</t>
  </si>
  <si>
    <t>M6C1</t>
  </si>
  <si>
    <t>M6C2</t>
  </si>
  <si>
    <t>M7C1</t>
  </si>
  <si>
    <t>M7C2</t>
  </si>
  <si>
    <t>Market share trimestral de smartphones a nivel mundial por proveedor 2021-2023</t>
  </si>
  <si>
    <t>Samsung</t>
  </si>
  <si>
    <t>Apple</t>
  </si>
  <si>
    <t>OPPO</t>
  </si>
  <si>
    <t>vivo</t>
  </si>
  <si>
    <t>Transsion</t>
  </si>
  <si>
    <t>Others</t>
  </si>
  <si>
    <t>Q1 '21</t>
  </si>
  <si>
    <t>Q2 '21</t>
  </si>
  <si>
    <t>Q3 '21</t>
  </si>
  <si>
    <t>Q4 '21</t>
  </si>
  <si>
    <t>Q1 '22</t>
  </si>
  <si>
    <t>Q2 '22</t>
  </si>
  <si>
    <t>Q3 '22</t>
  </si>
  <si>
    <t>Q4 '22</t>
  </si>
  <si>
    <t>Q1 '23</t>
  </si>
  <si>
    <t>Q2 '23</t>
  </si>
  <si>
    <t>Q3 '23</t>
  </si>
  <si>
    <t>Q4 '23</t>
  </si>
  <si>
    <t>Trimestre/Año</t>
  </si>
  <si>
    <t>Market share global de smartphones desde el cuarto trimestre de 2021 hasta el cuarto trimestre de 2023, por proveedor (en %)</t>
  </si>
  <si>
    <t>Marca</t>
  </si>
  <si>
    <t>Market Share</t>
  </si>
  <si>
    <t>Xiaomi</t>
  </si>
  <si>
    <t>Columna</t>
  </si>
  <si>
    <t>Rank</t>
  </si>
  <si>
    <t>Name</t>
  </si>
  <si>
    <t>Platform</t>
  </si>
  <si>
    <t>Year</t>
  </si>
  <si>
    <t>Genre</t>
  </si>
  <si>
    <t>Wii Sports</t>
  </si>
  <si>
    <t>Wii</t>
  </si>
  <si>
    <t>Sports</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</si>
  <si>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</si>
  <si>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</si>
  <si>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</si>
  <si>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</si>
  <si>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</si>
  <si>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</si>
  <si>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</si>
  <si>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</si>
  <si>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</si>
  <si>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</si>
  <si>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</si>
  <si>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</si>
  <si>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</si>
  <si>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</si>
  <si>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</si>
  <si>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</si>
  <si>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</si>
  <si>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</si>
  <si>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</si>
  <si>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</si>
  <si>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</si>
  <si>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</si>
  <si>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</si>
  <si>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</si>
  <si>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</si>
  <si>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Grand Theft Auto V</t>
  </si>
  <si>
    <t>PS3</t>
  </si>
  <si>
    <t>Action</t>
  </si>
  <si>
    <t>Grand Theft Auto: San Andreas</t>
  </si>
  <si>
    <t>PS2</t>
  </si>
  <si>
    <t>Super Mario World</t>
  </si>
  <si>
    <t>SNES</t>
  </si>
  <si>
    <t>Brain Age: Train Your Brain in Minutes a Day</t>
  </si>
  <si>
    <t>Ventas de videojuegos</t>
  </si>
  <si>
    <t>Este conjunto de datos contiene una lista de videojuegos con ventas superiores a 100.000 copias (top 20)</t>
  </si>
  <si>
    <t>Venta de Aguacates</t>
  </si>
  <si>
    <t>Descuentos aplicados según piezas adquiridas</t>
  </si>
  <si>
    <t>Desde</t>
  </si>
  <si>
    <t>Hasta</t>
  </si>
  <si>
    <t>Descuento</t>
  </si>
  <si>
    <t>Piezas</t>
  </si>
  <si>
    <t>NA_Sales</t>
  </si>
  <si>
    <t>EU_Sales</t>
  </si>
  <si>
    <t>JP_Sales</t>
  </si>
  <si>
    <t>Other_Sales</t>
  </si>
  <si>
    <t>Global_Sales</t>
  </si>
  <si>
    <t>Videojuego</t>
  </si>
  <si>
    <t>Zona</t>
  </si>
  <si>
    <t>Apple (U.S.)</t>
  </si>
  <si>
    <t>Microsoft (U.S.)</t>
  </si>
  <si>
    <t>Saudi Arabian Oil Company (Saudi Aramco, Saudi Arabia)</t>
  </si>
  <si>
    <t>Alphabet (U.S.)</t>
  </si>
  <si>
    <t>Amazon (U.S.)</t>
  </si>
  <si>
    <t>NVIDIA (U.S.)</t>
  </si>
  <si>
    <t>Meta Platforms (U.S.)</t>
  </si>
  <si>
    <t>Tesla (U.S.)</t>
  </si>
  <si>
    <t>LVMH Moet, Hennessey, Louis Vuitton (France)</t>
  </si>
  <si>
    <t>Visa (U.S.)</t>
  </si>
  <si>
    <t>Las mayores empresas del mundo por valor de mercado en 2023</t>
  </si>
  <si>
    <t>Las 10 empresas más grandes del mundo por capitalización de mercado en 2023 (en miles de millones de dólares estadounidenses)</t>
  </si>
  <si>
    <t>Empresa</t>
  </si>
  <si>
    <t>Valor</t>
  </si>
  <si>
    <t>Peru</t>
  </si>
  <si>
    <t>Bulgaria</t>
  </si>
  <si>
    <t>Bosnia and Herzegovina</t>
  </si>
  <si>
    <t>Hungary</t>
  </si>
  <si>
    <t>Georgia</t>
  </si>
  <si>
    <t>North Macedonia</t>
  </si>
  <si>
    <t>Moldova</t>
  </si>
  <si>
    <t>Croatia</t>
  </si>
  <si>
    <t>Czechia</t>
  </si>
  <si>
    <t>Slovakia</t>
  </si>
  <si>
    <t>Confirmed cases (absolute)</t>
  </si>
  <si>
    <t>Cases in last 7 days</t>
  </si>
  <si>
    <t>Confirmed deaths (absolute)</t>
  </si>
  <si>
    <t>Population (in millions)</t>
  </si>
  <si>
    <t>Deaths in last 7 days</t>
  </si>
  <si>
    <t>Deaths per million (last 7 days)</t>
  </si>
  <si>
    <t>Daily increase (# deaths)</t>
  </si>
  <si>
    <t>Deaths per million (total)</t>
  </si>
  <si>
    <t>Type</t>
  </si>
  <si>
    <t>Casos y muertes por COVID-19 por millón en 210 países hasta el 13 de julio de 2022</t>
  </si>
  <si>
    <t>Muertes por coronavirus (COVID-19) en todo el mundo por un millón de habitantes hasta el 13 de julio de 2022, por país</t>
  </si>
  <si>
    <t>Consola</t>
  </si>
  <si>
    <t>Google Android</t>
  </si>
  <si>
    <t>Apple iOS</t>
  </si>
  <si>
    <t>Microsoft</t>
  </si>
  <si>
    <t>RIM/Blackberry</t>
  </si>
  <si>
    <t>Mar '20</t>
  </si>
  <si>
    <t>May '20</t>
  </si>
  <si>
    <t>Nov '20</t>
  </si>
  <si>
    <t>Jan '21</t>
  </si>
  <si>
    <t>Mar '21</t>
  </si>
  <si>
    <t>May '21</t>
  </si>
  <si>
    <t>Nov '21</t>
  </si>
  <si>
    <t>Jan '22</t>
  </si>
  <si>
    <t>Apr '22</t>
  </si>
  <si>
    <t>Jun '22</t>
  </si>
  <si>
    <t>Sep '22</t>
  </si>
  <si>
    <t>Nov '22</t>
  </si>
  <si>
    <t>Jan '23</t>
  </si>
  <si>
    <t>Mar '23</t>
  </si>
  <si>
    <t>May '23</t>
  </si>
  <si>
    <t>Jul '23</t>
  </si>
  <si>
    <t>Mes/Año</t>
  </si>
  <si>
    <t>Sistema Operativo</t>
  </si>
  <si>
    <t xml:space="preserve"> </t>
  </si>
  <si>
    <t>Share held de suscriptores mantenida por sistemas operativos de teléfonos inteligentes en los Estados Unidos desde 2012 hasta 2023 (en %)</t>
  </si>
  <si>
    <t>Share held de suscriptores de teléfonos inteligentes por plataforma operativa en EE. UU. 2020-2023, por mes</t>
  </si>
  <si>
    <t>Share held</t>
  </si>
  <si>
    <t>Rankings universitarios mundiales por puntuaciones, ratios e indicadores</t>
  </si>
  <si>
    <t>rank</t>
  </si>
  <si>
    <t>university</t>
  </si>
  <si>
    <t>overall_score</t>
  </si>
  <si>
    <t>Massachusetts Institute of Technology (MIT)</t>
  </si>
  <si>
    <t>University of Cambridge</t>
  </si>
  <si>
    <t>University of Oxford</t>
  </si>
  <si>
    <t>Harvard University</t>
  </si>
  <si>
    <t>Stanford University</t>
  </si>
  <si>
    <t>Imperial College London</t>
  </si>
  <si>
    <t>ETH Zurich</t>
  </si>
  <si>
    <t>National University of Singapore (NUS)</t>
  </si>
  <si>
    <t>UCL</t>
  </si>
  <si>
    <t>University of California, Berkeley (UCB)</t>
  </si>
  <si>
    <t>University of Chicago</t>
  </si>
  <si>
    <t>University of Pennsylvania</t>
  </si>
  <si>
    <t>Cornell University</t>
  </si>
  <si>
    <t>The University of Melbourne</t>
  </si>
  <si>
    <t>QS Top 15 Universidades del Mundo 2024</t>
  </si>
  <si>
    <t>employment_outcomes</t>
  </si>
  <si>
    <t>California Institute of Technology (Caltech)</t>
  </si>
  <si>
    <t>Bonos de acuerdo con Ventas</t>
  </si>
  <si>
    <t>Cantidad en USD de Bonos a empleados según sus ventas</t>
  </si>
  <si>
    <t>Bono</t>
  </si>
  <si>
    <t>Conjunto de datos de población de vehículos eléctricos</t>
  </si>
  <si>
    <t>El conjunto de datos trata sobre un número cada vez mayor de vehículos eléctricos en diferentes países</t>
  </si>
  <si>
    <t>VIN (1-10)</t>
  </si>
  <si>
    <t>3C3CFFGE4E</t>
  </si>
  <si>
    <t>5YJXCBE40H</t>
  </si>
  <si>
    <t>3MW39FS03P</t>
  </si>
  <si>
    <t>7PDSGABA8P</t>
  </si>
  <si>
    <t>5YJ3E1EB8L</t>
  </si>
  <si>
    <t>5UX43EU02R</t>
  </si>
  <si>
    <t>2C4RC1H7XJ</t>
  </si>
  <si>
    <t>1G1FX6S01H</t>
  </si>
  <si>
    <t>5YJ3E1EA2J</t>
  </si>
  <si>
    <t>WBY7Z6C59J</t>
  </si>
  <si>
    <t>7SAYGDEE9P</t>
  </si>
  <si>
    <t>KNDCE3LGXK</t>
  </si>
  <si>
    <t>5YJYGDEE1L</t>
  </si>
  <si>
    <t>3FA6P0SU9L</t>
  </si>
  <si>
    <t>WBY1Z2C53G</t>
  </si>
  <si>
    <t>Model Year</t>
  </si>
  <si>
    <t>Make</t>
  </si>
  <si>
    <t>FIAT</t>
  </si>
  <si>
    <t>TESLA</t>
  </si>
  <si>
    <t>BMW</t>
  </si>
  <si>
    <t>RIVIAN</t>
  </si>
  <si>
    <t>CHRYSLER</t>
  </si>
  <si>
    <t>CHEVROLET</t>
  </si>
  <si>
    <t>KIA</t>
  </si>
  <si>
    <t>FORD</t>
  </si>
  <si>
    <t>County</t>
  </si>
  <si>
    <t>City</t>
  </si>
  <si>
    <t>Yakima</t>
  </si>
  <si>
    <t>Thurston</t>
  </si>
  <si>
    <t>Olympia</t>
  </si>
  <si>
    <t>King</t>
  </si>
  <si>
    <t>Renton</t>
  </si>
  <si>
    <t>Snohomish</t>
  </si>
  <si>
    <t>Bothell</t>
  </si>
  <si>
    <t>Kent</t>
  </si>
  <si>
    <t>Kitsap</t>
  </si>
  <si>
    <t>Poulsbo</t>
  </si>
  <si>
    <t>Port Orchard</t>
  </si>
  <si>
    <t>Duvall</t>
  </si>
  <si>
    <t>Bellevue</t>
  </si>
  <si>
    <t>Seattle</t>
  </si>
  <si>
    <t>Bremerton</t>
  </si>
  <si>
    <t>Operadores (aritméticos y de comparación)</t>
  </si>
  <si>
    <t>Calidad de manzana</t>
  </si>
  <si>
    <t>Explora el mundo de las frutas</t>
  </si>
  <si>
    <t>A_id</t>
  </si>
  <si>
    <t>Size</t>
  </si>
  <si>
    <t>Weight</t>
  </si>
  <si>
    <t>Sweetness</t>
  </si>
  <si>
    <t>Crunchiness</t>
  </si>
  <si>
    <t>Juiciness</t>
  </si>
  <si>
    <t>Ripeness</t>
  </si>
  <si>
    <t>Acidity</t>
  </si>
  <si>
    <t>Quality</t>
  </si>
  <si>
    <t>good</t>
  </si>
  <si>
    <t>bad</t>
  </si>
  <si>
    <t>Número de restaurantes de McDonald's en América del Norte 2012-2022, por país</t>
  </si>
  <si>
    <t>Número de restaurantes de McDonald's en América del Norte desde 2012 hasta 2022, por país</t>
  </si>
  <si>
    <t>United States</t>
  </si>
  <si>
    <t>Canada</t>
  </si>
  <si>
    <t>Cuba</t>
  </si>
  <si>
    <t>2012</t>
  </si>
  <si>
    <t>2013</t>
  </si>
  <si>
    <t>2014</t>
  </si>
  <si>
    <t>2015</t>
  </si>
  <si>
    <t>2016</t>
  </si>
  <si>
    <t>2017</t>
  </si>
  <si>
    <t>2018</t>
  </si>
  <si>
    <t>2019</t>
  </si>
  <si>
    <t>2020</t>
  </si>
  <si>
    <t>2021</t>
  </si>
  <si>
    <t>2022</t>
  </si>
  <si>
    <t>Año/País</t>
  </si>
  <si>
    <t>Ventas netas de Procter &amp; Gamble a nivel mundial 2012-2023</t>
  </si>
  <si>
    <t>2023</t>
  </si>
  <si>
    <t>Ventas</t>
  </si>
  <si>
    <t>Conversión</t>
  </si>
  <si>
    <t>Conversión (billón USD)</t>
  </si>
  <si>
    <t>Ventas netas de Procter &amp; Gamble a nivel mundial desde 2012 hasta 2023 (billones de dólares estadounidenses)</t>
  </si>
  <si>
    <t>Conversión (MXN)</t>
  </si>
  <si>
    <t>USD - MXN</t>
  </si>
  <si>
    <t>Company Names</t>
  </si>
  <si>
    <t>Company Code</t>
  </si>
  <si>
    <t>Marketcap</t>
  </si>
  <si>
    <t>Stock Price</t>
  </si>
  <si>
    <t>Country</t>
  </si>
  <si>
    <t>MSFT</t>
  </si>
  <si>
    <t>$3.033 T</t>
  </si>
  <si>
    <t>USA</t>
  </si>
  <si>
    <t>AAPL</t>
  </si>
  <si>
    <t>$2.951 T</t>
  </si>
  <si>
    <t>Saudi Aramco</t>
  </si>
  <si>
    <t>2222.SR</t>
  </si>
  <si>
    <t>$2.026 T</t>
  </si>
  <si>
    <t>S. Arabia</t>
  </si>
  <si>
    <t>Alphabet (Google)</t>
  </si>
  <si>
    <t>GOOG</t>
  </si>
  <si>
    <t>$1.909 T</t>
  </si>
  <si>
    <t>Amazon</t>
  </si>
  <si>
    <t>AMZN</t>
  </si>
  <si>
    <t>$1.653 T</t>
  </si>
  <si>
    <t>NVIDIA</t>
  </si>
  <si>
    <t>NVDA</t>
  </si>
  <si>
    <t>$1.522 T</t>
  </si>
  <si>
    <t>Meta Platforms (Facebook)</t>
  </si>
  <si>
    <t>META</t>
  </si>
  <si>
    <t>$1.027 T</t>
  </si>
  <si>
    <t>Berkshire Hathaway</t>
  </si>
  <si>
    <t>BRK-B</t>
  </si>
  <si>
    <t>$826.22 B</t>
  </si>
  <si>
    <t>Eli Lilly</t>
  </si>
  <si>
    <t>LLY</t>
  </si>
  <si>
    <t>$611.43 B</t>
  </si>
  <si>
    <t>TSMC</t>
  </si>
  <si>
    <t>TSM</t>
  </si>
  <si>
    <t>$602.86 B</t>
  </si>
  <si>
    <t>Taiwan</t>
  </si>
  <si>
    <t>Tesla</t>
  </si>
  <si>
    <t>TSLA</t>
  </si>
  <si>
    <t>$598.97 B</t>
  </si>
  <si>
    <t>Broadcom</t>
  </si>
  <si>
    <t>AVGO</t>
  </si>
  <si>
    <t>$568.87 B</t>
  </si>
  <si>
    <t>Visa</t>
  </si>
  <si>
    <t>V</t>
  </si>
  <si>
    <t>$551.51 B</t>
  </si>
  <si>
    <t>JPMorgan Chase</t>
  </si>
  <si>
    <t>JPM</t>
  </si>
  <si>
    <t>$494.10 B</t>
  </si>
  <si>
    <t>Novo Nordisk</t>
  </si>
  <si>
    <t>NVO</t>
  </si>
  <si>
    <t>$481.75 B</t>
  </si>
  <si>
    <t>Denmark</t>
  </si>
  <si>
    <t>UnitedHealth</t>
  </si>
  <si>
    <t>UNH</t>
  </si>
  <si>
    <t>$465.74 B</t>
  </si>
  <si>
    <t>Walmart</t>
  </si>
  <si>
    <t>WMT</t>
  </si>
  <si>
    <t>$442.17 B</t>
  </si>
  <si>
    <t>LVMH</t>
  </si>
  <si>
    <t>MC.PA</t>
  </si>
  <si>
    <t>$418.80 B</t>
  </si>
  <si>
    <t>France</t>
  </si>
  <si>
    <t>Mastercard</t>
  </si>
  <si>
    <t>MA</t>
  </si>
  <si>
    <t>$410.65 B</t>
  </si>
  <si>
    <t>Exxon Mobil</t>
  </si>
  <si>
    <t>XOM</t>
  </si>
  <si>
    <t>$409.90 B</t>
  </si>
  <si>
    <t>Principales empresas mundiales por capitalización de mercado.</t>
  </si>
  <si>
    <t>Una descripción general de las empresas líderes del mundo, con clasificaciones, capitalización de mercado, etc.</t>
  </si>
  <si>
    <t>Nombre</t>
  </si>
  <si>
    <t>Apellido</t>
  </si>
  <si>
    <t>Nombre completo</t>
  </si>
  <si>
    <t>California Institute of Technology</t>
  </si>
  <si>
    <t>United Kingdom</t>
  </si>
  <si>
    <t>Massachusetts Institute of Technology</t>
  </si>
  <si>
    <t>Princeton University</t>
  </si>
  <si>
    <t>The University of Chicago</t>
  </si>
  <si>
    <t>US</t>
  </si>
  <si>
    <t>UK</t>
  </si>
  <si>
    <t>SW</t>
  </si>
  <si>
    <t>El ranking mundial de universidades 2016-2024</t>
  </si>
  <si>
    <t>Rankings globales de más de 1500 universidades de todo el mundo.</t>
  </si>
  <si>
    <t>Ronaldo</t>
  </si>
  <si>
    <t>Balones de oro</t>
  </si>
  <si>
    <t>Más victorias del Balón de Oro 1956-2023, por jugador</t>
  </si>
  <si>
    <t>Jugadores que han ganado el Balón de Oro más veces hasta 2023</t>
  </si>
  <si>
    <t>Messi</t>
  </si>
  <si>
    <t>Platini</t>
  </si>
  <si>
    <t>Cruyff</t>
  </si>
  <si>
    <t>van Basten</t>
  </si>
  <si>
    <t>Beckenbauer</t>
  </si>
  <si>
    <t>Nazario</t>
  </si>
  <si>
    <t>Di Stéfano</t>
  </si>
  <si>
    <t>Keegan</t>
  </si>
  <si>
    <t>Rummenigge</t>
  </si>
  <si>
    <t>Lionel</t>
  </si>
  <si>
    <t>Cristiano</t>
  </si>
  <si>
    <t>Michel</t>
  </si>
  <si>
    <t>Johann</t>
  </si>
  <si>
    <t>Marco</t>
  </si>
  <si>
    <t>Franz</t>
  </si>
  <si>
    <t>Alfredo</t>
  </si>
  <si>
    <t>Kevin</t>
  </si>
  <si>
    <t>Karl-Heinz</t>
  </si>
  <si>
    <t>Antarctic (polar)</t>
  </si>
  <si>
    <t>Arctic (polar)</t>
  </si>
  <si>
    <t>Sahara (subtrpical)</t>
  </si>
  <si>
    <t>Arabian (subtropical)</t>
  </si>
  <si>
    <t>Gobi (cold winter)</t>
  </si>
  <si>
    <t>Patagonian (cold winter)</t>
  </si>
  <si>
    <t>Great Victoria (subtropical)</t>
  </si>
  <si>
    <t>Kalahari (subtropical)</t>
  </si>
  <si>
    <t>Great Basin (cold winter)</t>
  </si>
  <si>
    <t>Syrian (subtropical)</t>
  </si>
  <si>
    <t>Desierto</t>
  </si>
  <si>
    <t>Los desiertos más grandes del mundo</t>
  </si>
  <si>
    <t>Clasificación de los desiertos más grandes de la Tierra (en millones de millas cuadradas)</t>
  </si>
  <si>
    <t>Millas</t>
  </si>
  <si>
    <t>Us</t>
  </si>
  <si>
    <t>Uk</t>
  </si>
  <si>
    <t>uS</t>
  </si>
  <si>
    <t>uK</t>
  </si>
  <si>
    <t>Minúsculas</t>
  </si>
  <si>
    <t>Mayúsculas</t>
  </si>
  <si>
    <t>Jugador</t>
  </si>
  <si>
    <t>Botas de Oro</t>
  </si>
  <si>
    <t>Top 10 Bota de Oro en la Copa Mundial de la FIFA 2018</t>
  </si>
  <si>
    <t>Máximos goleadores en la Copa Mundial de la FIFA 2018 en Rusia</t>
  </si>
  <si>
    <t xml:space="preserve">harry kane </t>
  </si>
  <si>
    <t xml:space="preserve">antoine griezmann </t>
  </si>
  <si>
    <t xml:space="preserve">romelu lukaku </t>
  </si>
  <si>
    <t xml:space="preserve">denis cheryshev </t>
  </si>
  <si>
    <t xml:space="preserve">cristiano ronaldo </t>
  </si>
  <si>
    <t xml:space="preserve">kylian mbappe </t>
  </si>
  <si>
    <t xml:space="preserve">artem dzyuba </t>
  </si>
  <si>
    <t xml:space="preserve">eden hazard </t>
  </si>
  <si>
    <t xml:space="preserve">mario mandzukic </t>
  </si>
  <si>
    <t xml:space="preserve">ivan perisic </t>
  </si>
  <si>
    <t>Nombre propio</t>
  </si>
  <si>
    <t>Farmacia</t>
  </si>
  <si>
    <t>Lista de 2023 de las 10 principales empresas biotecnológicas y farmacéuticas a nivel mundial basadas en ingresos</t>
  </si>
  <si>
    <t>Clasificación de 2023 de las 10 principales empresas biotecnológicas y farmacéuticas a nivel mundial basadas en ingresos (en miles de millones de dólares estadounidenses)</t>
  </si>
  <si>
    <t>Ingresos</t>
  </si>
  <si>
    <t xml:space="preserve">  Pfizer Inc.,  U.S.</t>
  </si>
  <si>
    <t xml:space="preserve"> Johnson &amp;    Johnson, U.S.</t>
  </si>
  <si>
    <t>Roche    Holding AG,   Switzerland</t>
  </si>
  <si>
    <t xml:space="preserve">  Merck &amp; Co. Inc., U.S.</t>
  </si>
  <si>
    <t>AbbVie Inc.,        U.S.</t>
  </si>
  <si>
    <t>Bayer   AG,  Germany</t>
  </si>
  <si>
    <t xml:space="preserve">     Novartis AG, U.S.</t>
  </si>
  <si>
    <t>Sanofi   SA,   France</t>
  </si>
  <si>
    <t>Bristol-Myers        Squibb Co., U.S.</t>
  </si>
  <si>
    <t xml:space="preserve"> AstraZenecaPLC,   U.K./Sweden</t>
  </si>
  <si>
    <t>Nombre corregido</t>
  </si>
  <si>
    <t>Espacios</t>
  </si>
  <si>
    <t>Order ID</t>
  </si>
  <si>
    <t>Order Date</t>
  </si>
  <si>
    <t>Ship Date</t>
  </si>
  <si>
    <t>Ship Mode</t>
  </si>
  <si>
    <t>CA-2013-152156</t>
  </si>
  <si>
    <t>Second Class</t>
  </si>
  <si>
    <t>CA-2013-138688</t>
  </si>
  <si>
    <t>US-2012-108966</t>
  </si>
  <si>
    <t>Standard Class</t>
  </si>
  <si>
    <t>CA-2011-115812</t>
  </si>
  <si>
    <t>ID Derecha</t>
  </si>
  <si>
    <t>Ventas de supermercado</t>
  </si>
  <si>
    <t>Análisis de ventas de supermercados: exploración de pedidos, clientes y ganancias</t>
  </si>
  <si>
    <t>ID Izquierda</t>
  </si>
  <si>
    <t>Conjunto de datos de ventas de comercio electrónico</t>
  </si>
  <si>
    <t>Análisis y maximización del rendimiento empresarial online</t>
  </si>
  <si>
    <t>405-8078784-5731545</t>
  </si>
  <si>
    <t>171-9198151-1101146</t>
  </si>
  <si>
    <t>404-0687676-7273146</t>
  </si>
  <si>
    <t>403-9615377-8133951</t>
  </si>
  <si>
    <t>407-1069790-7240320</t>
  </si>
  <si>
    <t>404-1490984-4578765</t>
  </si>
  <si>
    <t>408-5748499-6859555</t>
  </si>
  <si>
    <t>406-7807733-3785945</t>
  </si>
  <si>
    <t>407-5443024-5233168</t>
  </si>
  <si>
    <t>402-4393761-0311520</t>
  </si>
  <si>
    <t>407-5633625-6970741</t>
  </si>
  <si>
    <t>171-4638481-6326716</t>
  </si>
  <si>
    <t>405-5513694-8146768</t>
  </si>
  <si>
    <t>408-7955685-3083534</t>
  </si>
  <si>
    <t>Date</t>
  </si>
  <si>
    <t>04-30-22</t>
  </si>
  <si>
    <t>Status</t>
  </si>
  <si>
    <t>Cancelled</t>
  </si>
  <si>
    <t>Shipped - Delivered to Buyer</t>
  </si>
  <si>
    <t>Shipped</t>
  </si>
  <si>
    <t>SKU</t>
  </si>
  <si>
    <t>SET389-KR-NP-S</t>
  </si>
  <si>
    <t>JNE3781-KR-XXXL</t>
  </si>
  <si>
    <t>JNE3371-KR-XL</t>
  </si>
  <si>
    <t>J0341-DR-L</t>
  </si>
  <si>
    <t>JNE3671-TU-XXXL</t>
  </si>
  <si>
    <t>SET264-KR-NP-XL</t>
  </si>
  <si>
    <t>J0095-SET-L</t>
  </si>
  <si>
    <t>JNE3405-KR-S</t>
  </si>
  <si>
    <t>SET200-KR-NP-A-XXXL</t>
  </si>
  <si>
    <t>JNE3461-KR-XXL</t>
  </si>
  <si>
    <t>JNE3160-KR-G-S</t>
  </si>
  <si>
    <t>JNE3500-KR-XS</t>
  </si>
  <si>
    <t>JNE3405-KR-XS</t>
  </si>
  <si>
    <t>SET182-KR-DH-XS</t>
  </si>
  <si>
    <t>Derecha</t>
  </si>
  <si>
    <t>Izquierda</t>
  </si>
  <si>
    <t>Medio</t>
  </si>
  <si>
    <t>Extrae</t>
  </si>
  <si>
    <t>Other</t>
  </si>
  <si>
    <t>Theodore Roosevelt (26)</t>
  </si>
  <si>
    <t>John F. Kennedy (35)</t>
  </si>
  <si>
    <t>Bill Clinton (42)</t>
  </si>
  <si>
    <t>Ulysses S. Grant (18)</t>
  </si>
  <si>
    <t>Barack Obama (44)</t>
  </si>
  <si>
    <t>Franklin Pierce (14)</t>
  </si>
  <si>
    <t>James A. Garfield (20)</t>
  </si>
  <si>
    <t>James K. Polk (11)</t>
  </si>
  <si>
    <t>Millard Fillmore (13)</t>
  </si>
  <si>
    <t>John Tyler (10)</t>
  </si>
  <si>
    <t>Nombre/Partido-votación</t>
  </si>
  <si>
    <t>Edad de los presidentes de los Estados Unidos al asumir el cargo por primera vez 1789-2021</t>
  </si>
  <si>
    <t>Edad de todos los presidentes de los Estados Unidos al asumir el cargo por primera vez desde 1789 hasta 2021</t>
  </si>
  <si>
    <t>Edad</t>
  </si>
  <si>
    <t>Largo Nombre</t>
  </si>
  <si>
    <t>26</t>
  </si>
  <si>
    <t>35</t>
  </si>
  <si>
    <t>42</t>
  </si>
  <si>
    <t>18</t>
  </si>
  <si>
    <t>44</t>
  </si>
  <si>
    <t>14</t>
  </si>
  <si>
    <t>20</t>
  </si>
  <si>
    <t>11</t>
  </si>
  <si>
    <t>13</t>
  </si>
  <si>
    <t>10</t>
  </si>
  <si>
    <t>Los servicios de transmisión de música más populares en los Estados Unidos en 2018-2019, por audiencia</t>
  </si>
  <si>
    <t>Los servicios de transmisión de música más populares en los Estados Unidos en marzo de 2018 y septiembre de 2019, por usuarios mensuales (en millones)</t>
  </si>
  <si>
    <t>March 2018</t>
  </si>
  <si>
    <t>September 2019</t>
  </si>
  <si>
    <t>Apple Music</t>
  </si>
  <si>
    <t>Spotify</t>
  </si>
  <si>
    <t>Pandora Radio</t>
  </si>
  <si>
    <t>iHeartRadio</t>
  </si>
  <si>
    <t>Google Play Music</t>
  </si>
  <si>
    <t>Amazon Music</t>
  </si>
  <si>
    <t>SoundCloud</t>
  </si>
  <si>
    <t>Shazam</t>
  </si>
  <si>
    <t>Plataforma/mes-año</t>
  </si>
  <si>
    <t>Largo Plataforma</t>
  </si>
  <si>
    <t>California</t>
  </si>
  <si>
    <t>Texas</t>
  </si>
  <si>
    <t>Florida</t>
  </si>
  <si>
    <t>New York</t>
  </si>
  <si>
    <t>Pennsylvania</t>
  </si>
  <si>
    <t>Illinois</t>
  </si>
  <si>
    <t>Ohio</t>
  </si>
  <si>
    <t>Michigan</t>
  </si>
  <si>
    <t>North Carolina</t>
  </si>
  <si>
    <t>New Jersey</t>
  </si>
  <si>
    <t>Virginia</t>
  </si>
  <si>
    <t>Washington</t>
  </si>
  <si>
    <t>Arizona</t>
  </si>
  <si>
    <t>Estado</t>
  </si>
  <si>
    <t>Conductores con licencia en los EE. UU. - número total por estado 2021</t>
  </si>
  <si>
    <t>Número total de conductores con licencia en los Estados Unidos en 2021, por estado</t>
  </si>
  <si>
    <t>Conductores</t>
  </si>
  <si>
    <t>Ubicación espacio</t>
  </si>
  <si>
    <t>Países con más usuarios de Snapchat en 2023</t>
  </si>
  <si>
    <t>Principales países basados en el tamaño de la audiencia de Snapchat hasta abril de 2023 (en millones)</t>
  </si>
  <si>
    <t>India</t>
  </si>
  <si>
    <t>Pakistan</t>
  </si>
  <si>
    <t>Saudi Arabia</t>
  </si>
  <si>
    <t>Germany</t>
  </si>
  <si>
    <t>Mexico</t>
  </si>
  <si>
    <t>Iraq</t>
  </si>
  <si>
    <t>Egypt</t>
  </si>
  <si>
    <t>País</t>
  </si>
  <si>
    <t>Usuarios</t>
  </si>
  <si>
    <t>Ubicación Espacio</t>
  </si>
  <si>
    <t>Cuentas de Instagram de celebridades más seguidas en Corea del Sur 2023</t>
  </si>
  <si>
    <t>Celebridades con más seguidores en Instagram en Corea del Sur hasta junio de 2023 (en millones)</t>
  </si>
  <si>
    <t>BTS official</t>
  </si>
  <si>
    <t>Blackpink</t>
  </si>
  <si>
    <t>Jennie -Blackpink</t>
  </si>
  <si>
    <t>Jisoo -Blackpink</t>
  </si>
  <si>
    <t>Rosé -Blackpink</t>
  </si>
  <si>
    <t>V -BTS</t>
  </si>
  <si>
    <t>Jimin -BTS</t>
  </si>
  <si>
    <t>Sustitución - por *</t>
  </si>
  <si>
    <t>The Guardian</t>
  </si>
  <si>
    <t>Independent</t>
  </si>
  <si>
    <t>Metro</t>
  </si>
  <si>
    <t>Evening Standard</t>
  </si>
  <si>
    <t>Principales periódicos clasificados por alcance impreso y digital en el Reino Unido 2019-2020</t>
  </si>
  <si>
    <t>Periódico</t>
  </si>
  <si>
    <t>Sustitución - por /</t>
  </si>
  <si>
    <t>The Sun - The Sun on Sunday</t>
  </si>
  <si>
    <t>Daily Mail - The Mail on Sunday</t>
  </si>
  <si>
    <t>Daily Mirror - Sunday Mirror - Sunday People</t>
  </si>
  <si>
    <t>Daily Express - Sunday Express</t>
  </si>
  <si>
    <t>The Daily Telegraph - The Sunday Telegraph</t>
  </si>
  <si>
    <t>The Times - The Sunday Times</t>
  </si>
  <si>
    <t>Daily Star - Daily Star Sunday</t>
  </si>
  <si>
    <t>Daily Record - Sunday Mail (Scotland)</t>
  </si>
  <si>
    <t>Alcance mensual de los principales periódicos en el Reino Unido de abril de 2019 a marzo de 2020 (en miles)</t>
  </si>
  <si>
    <t>Población proyectada</t>
  </si>
  <si>
    <t>Proyecciones de la población de Estados Unidos para 2015-2060</t>
  </si>
  <si>
    <t>Proyecciones de la población de Estados Unidos desde 2015 hasta 2060 (en millones)</t>
  </si>
  <si>
    <t>Cantidad de años</t>
  </si>
  <si>
    <t>Toyota Corolla</t>
  </si>
  <si>
    <t>Toyota RAV4</t>
  </si>
  <si>
    <t>Ford F-Series</t>
  </si>
  <si>
    <t>Tesla Model Y</t>
  </si>
  <si>
    <t>Toyota Camry</t>
  </si>
  <si>
    <t>Honda CR-V</t>
  </si>
  <si>
    <t>Chevrolet Silverado</t>
  </si>
  <si>
    <t>Hyundai Tucson</t>
  </si>
  <si>
    <t>Toyota Hilux</t>
  </si>
  <si>
    <t>Ram Pick-up</t>
  </si>
  <si>
    <t>Modelo</t>
  </si>
  <si>
    <t>Modelos vendidos</t>
  </si>
  <si>
    <t>Cantidad de Modelos</t>
  </si>
  <si>
    <t>Ventas de videojuegos en EE. UU. en 2018, por género</t>
  </si>
  <si>
    <t>Role-playing</t>
  </si>
  <si>
    <t>Sport</t>
  </si>
  <si>
    <t>Adventure</t>
  </si>
  <si>
    <t>Fighting</t>
  </si>
  <si>
    <t>Strategy</t>
  </si>
  <si>
    <t>Género</t>
  </si>
  <si>
    <t>Ventas de videojuegos en los Estados Unidos en 2018, por género (en %)</t>
  </si>
  <si>
    <t>¿Cuántos géneros hay?</t>
  </si>
  <si>
    <t>Marcas más valiosas a nivel mundial 2023</t>
  </si>
  <si>
    <t>Marcas más valiosas a nivel mundial en 2023 (en miles de millones de dólares estadounidenses)</t>
  </si>
  <si>
    <t>Google</t>
  </si>
  <si>
    <t>Samsung Group</t>
  </si>
  <si>
    <t>ICBC</t>
  </si>
  <si>
    <t>Verizon</t>
  </si>
  <si>
    <t>TikTok/Douyin</t>
  </si>
  <si>
    <t>¿Cuántas marcas hay?</t>
  </si>
  <si>
    <t>Jugadores de fútbol con mayores ingresos a nivel mundial en 2022</t>
  </si>
  <si>
    <t>Los jugadores de fútbol mejor pagados en salarios y patrocinios a nivel mundial en 2022 (en millones de dólares estadounidenses)</t>
  </si>
  <si>
    <t>Salary &amp; bonuses</t>
  </si>
  <si>
    <t>Off-field earnings</t>
  </si>
  <si>
    <t>Cristiano Ronaldo (Al-Nassr)*</t>
  </si>
  <si>
    <t>Kylian Mbappé (Paris St. Germain)</t>
  </si>
  <si>
    <t>Lionel Messi (Paris Saint-Germain)</t>
  </si>
  <si>
    <t>Neymar (Paris Saint-Germain)</t>
  </si>
  <si>
    <t>Mohamed Salah (Liverpool)</t>
  </si>
  <si>
    <t>Erling Haaland (Manchester City)</t>
  </si>
  <si>
    <t>Robert Lewandowski (Bayern Munich)</t>
  </si>
  <si>
    <t>Andres Iniesta (Vissel Kobe)</t>
  </si>
  <si>
    <t>Kevin de Bruyne (Manchester City)</t>
  </si>
  <si>
    <t>¿Cuántos jugadores faltan?</t>
  </si>
  <si>
    <t>Private label</t>
  </si>
  <si>
    <t>Ben &amp; Jerry's</t>
  </si>
  <si>
    <t>Häagen-Dazs</t>
  </si>
  <si>
    <t>Blue Bell</t>
  </si>
  <si>
    <t>Breyers</t>
  </si>
  <si>
    <t>Dreyer's and Edy's</t>
  </si>
  <si>
    <t>Turkey Hill</t>
  </si>
  <si>
    <t>Tillamook</t>
  </si>
  <si>
    <t>Blue Bunny</t>
  </si>
  <si>
    <t>Ventas de las principales marcas de helados de los Estados Unidos en 2022</t>
  </si>
  <si>
    <t>Las principales marcas de helados de los Estados Unidos en 2022, basadas en ventas (en millones de dólares estadounidenses)</t>
  </si>
  <si>
    <t>¿Cuántas marcas faltan?</t>
  </si>
  <si>
    <t>date</t>
  </si>
  <si>
    <t>item_name</t>
  </si>
  <si>
    <t>item_type</t>
  </si>
  <si>
    <t>item_price</t>
  </si>
  <si>
    <t>quantity</t>
  </si>
  <si>
    <t>transaction_amount</t>
  </si>
  <si>
    <t>Aalopuri</t>
  </si>
  <si>
    <t>Fastfood</t>
  </si>
  <si>
    <t>8/23/2022</t>
  </si>
  <si>
    <t>Vadapav</t>
  </si>
  <si>
    <t>11/20/2022</t>
  </si>
  <si>
    <t>Sugarcane juice</t>
  </si>
  <si>
    <t>Beverages</t>
  </si>
  <si>
    <t>Online</t>
  </si>
  <si>
    <t>11/14/2022</t>
  </si>
  <si>
    <t>12/22/2022</t>
  </si>
  <si>
    <t>Panipuri</t>
  </si>
  <si>
    <t>9/16/2022</t>
  </si>
  <si>
    <t>Frankie</t>
  </si>
  <si>
    <t>Ventas de Fastfood</t>
  </si>
  <si>
    <t>Informe de ventas de restaurante</t>
  </si>
  <si>
    <t>Ventas de Fastfood y Panipuri</t>
  </si>
  <si>
    <t>Promedio de ventas de Beverages</t>
  </si>
  <si>
    <t>Promedio de ventas de Fastfood con cantidad mayor a 10</t>
  </si>
  <si>
    <t>Datos de ventas de automóviles</t>
  </si>
  <si>
    <t>El conjunto de datos es útil para analizar las tendencias de ventas de automóviles a lo largo del tiempo.</t>
  </si>
  <si>
    <t>Salesperson</t>
  </si>
  <si>
    <t>Customer Name</t>
  </si>
  <si>
    <t>Car Make</t>
  </si>
  <si>
    <t>Car Model</t>
  </si>
  <si>
    <t>Sale Price</t>
  </si>
  <si>
    <t>Monica Moore MD</t>
  </si>
  <si>
    <t>Mary Butler</t>
  </si>
  <si>
    <t>Nissan</t>
  </si>
  <si>
    <t>Altima</t>
  </si>
  <si>
    <t>Roberto Rose</t>
  </si>
  <si>
    <t>Richard Pierce</t>
  </si>
  <si>
    <t>F-150</t>
  </si>
  <si>
    <t>Ashley Ramos</t>
  </si>
  <si>
    <t>Sandra Moore</t>
  </si>
  <si>
    <t>Ford</t>
  </si>
  <si>
    <t>Civic</t>
  </si>
  <si>
    <t>Patrick Harris</t>
  </si>
  <si>
    <t>Johnny Scott</t>
  </si>
  <si>
    <t>Eric Lopez</t>
  </si>
  <si>
    <t>Vanessa Jones</t>
  </si>
  <si>
    <t>Honda</t>
  </si>
  <si>
    <t>Silverado</t>
  </si>
  <si>
    <t>Terry Perkins MD</t>
  </si>
  <si>
    <t>John Olsen</t>
  </si>
  <si>
    <t>Ashley Brown</t>
  </si>
  <si>
    <t>Tyler Lawson</t>
  </si>
  <si>
    <t>Norma Watkins</t>
  </si>
  <si>
    <t>Michael Bond</t>
  </si>
  <si>
    <t>Scott Parker</t>
  </si>
  <si>
    <t>Stephanie Smith</t>
  </si>
  <si>
    <t>Corolla</t>
  </si>
  <si>
    <t>Andrew Smith</t>
  </si>
  <si>
    <t>Ashley Moreno DDS</t>
  </si>
  <si>
    <t>Harold Nelson</t>
  </si>
  <si>
    <t>Isaac Patton</t>
  </si>
  <si>
    <t>Richard Richardson</t>
  </si>
  <si>
    <t>Justin Gray</t>
  </si>
  <si>
    <t>Toyota</t>
  </si>
  <si>
    <t>Mia Acosta</t>
  </si>
  <si>
    <t>Rebecca Best</t>
  </si>
  <si>
    <t>Lisa Campbell</t>
  </si>
  <si>
    <t>Lisa Anderson</t>
  </si>
  <si>
    <t>Carrie Howard</t>
  </si>
  <si>
    <t>Rodney Black</t>
  </si>
  <si>
    <t>Chevrolet</t>
  </si>
  <si>
    <t>James Velasquez</t>
  </si>
  <si>
    <t>Natalie Thompson</t>
  </si>
  <si>
    <t>Kristin Holmes</t>
  </si>
  <si>
    <t>Michael Hill</t>
  </si>
  <si>
    <t>Total Ventas Nissan</t>
  </si>
  <si>
    <t>Total Ventas Honda Silverado</t>
  </si>
  <si>
    <t>Promedio de Ventas Altima</t>
  </si>
  <si>
    <t>Promedio de Ventas Toyota Silverado</t>
  </si>
  <si>
    <t>Dia</t>
  </si>
  <si>
    <t>Mes</t>
  </si>
  <si>
    <t>Envíos en Second Class</t>
  </si>
  <si>
    <t>us</t>
  </si>
  <si>
    <t>uk</t>
  </si>
  <si>
    <t>sw</t>
  </si>
  <si>
    <t>Repeticiones de "us"</t>
  </si>
  <si>
    <t>Conteo de Ford Altima</t>
  </si>
  <si>
    <t>Conteo de Vadapav Fastfood</t>
  </si>
  <si>
    <t>AveragePrice</t>
  </si>
  <si>
    <t>Total Volume</t>
  </si>
  <si>
    <t>Precios del aguacate</t>
  </si>
  <si>
    <t>Datos históricos sobre precios de aguacate y volumen de ventas en múltiples mercados de EE. UU.</t>
  </si>
  <si>
    <t>Store</t>
  </si>
  <si>
    <t>Dept</t>
  </si>
  <si>
    <t>Weekly_Sales</t>
  </si>
  <si>
    <t>IsHoliday</t>
  </si>
  <si>
    <t>FALSE</t>
  </si>
  <si>
    <t>TRUE</t>
  </si>
  <si>
    <t>Predicción de ventas de Walmart</t>
  </si>
  <si>
    <t>Datos de ventas semanales de las tiendas Walmart.</t>
  </si>
  <si>
    <t>+12 meses</t>
  </si>
  <si>
    <t>+24 meses</t>
  </si>
  <si>
    <t>Análisis integral de la cadena de suministro</t>
  </si>
  <si>
    <t>Optimización de operaciones para lograr eficiencia y satisfacción del cliente</t>
  </si>
  <si>
    <t>OrderNumber</t>
  </si>
  <si>
    <t>Sales Channel</t>
  </si>
  <si>
    <t>WarehouseCode</t>
  </si>
  <si>
    <t>OrderDate</t>
  </si>
  <si>
    <t>DeliveryDate</t>
  </si>
  <si>
    <t>SO - 000101</t>
  </si>
  <si>
    <t>In-Store</t>
  </si>
  <si>
    <t>WARE-UHY1004</t>
  </si>
  <si>
    <t>SO - 000102</t>
  </si>
  <si>
    <t>WARE-NMK1003</t>
  </si>
  <si>
    <t>SO - 000103</t>
  </si>
  <si>
    <t>Distributor</t>
  </si>
  <si>
    <t>SO - 000104</t>
  </si>
  <si>
    <t>Wholesale</t>
  </si>
  <si>
    <t>SO - 000105</t>
  </si>
  <si>
    <t>SO - 000106</t>
  </si>
  <si>
    <t>WARE-PUJ1005</t>
  </si>
  <si>
    <t>SO - 000107</t>
  </si>
  <si>
    <t>WARE-XYS1001</t>
  </si>
  <si>
    <t>SO - 000108</t>
  </si>
  <si>
    <t>SO - 000109</t>
  </si>
  <si>
    <t>SO - 000110</t>
  </si>
  <si>
    <t>SO - 000111</t>
  </si>
  <si>
    <t>SO - 000112</t>
  </si>
  <si>
    <t>SO - 000113</t>
  </si>
  <si>
    <t>births</t>
  </si>
  <si>
    <t>Fechas de cumpleaños en los EE. UU.</t>
  </si>
  <si>
    <t>Total de bebés que nacen en una fecha determinada</t>
  </si>
  <si>
    <t>Meses con años</t>
  </si>
  <si>
    <t>+5 días</t>
  </si>
  <si>
    <t>+15 días</t>
  </si>
  <si>
    <t>Días Laborables</t>
  </si>
  <si>
    <t>Vacaciones</t>
  </si>
  <si>
    <t>Operador</t>
  </si>
  <si>
    <t>Descripción</t>
  </si>
  <si>
    <t>Jerarquía</t>
  </si>
  <si>
    <t>()</t>
  </si>
  <si>
    <t>Paréntesis</t>
  </si>
  <si>
    <t>*</t>
  </si>
  <si>
    <t>Multiplicación</t>
  </si>
  <si>
    <t>/</t>
  </si>
  <si>
    <t>División</t>
  </si>
  <si>
    <t>+</t>
  </si>
  <si>
    <t>-</t>
  </si>
  <si>
    <t>Resta</t>
  </si>
  <si>
    <t>=</t>
  </si>
  <si>
    <t>Igual que</t>
  </si>
  <si>
    <t>&lt;&gt;</t>
  </si>
  <si>
    <t>No igual a</t>
  </si>
  <si>
    <t>&gt;</t>
  </si>
  <si>
    <t>Mayor que</t>
  </si>
  <si>
    <t>&lt;</t>
  </si>
  <si>
    <t>Menor que</t>
  </si>
  <si>
    <t>&gt;=</t>
  </si>
  <si>
    <t>Mayor o igual que</t>
  </si>
  <si>
    <t>&lt;=</t>
  </si>
  <si>
    <t>Menor o igual que</t>
  </si>
  <si>
    <t>Milla = 1.6 km</t>
  </si>
  <si>
    <t>Cuando arrastras hacia abajo una fórmula sus referencias cambian de fila</t>
  </si>
  <si>
    <t>Cuando arrastras hacia la derecha una fórmula sus referencias cambian de columna</t>
  </si>
  <si>
    <t>Bonus</t>
  </si>
  <si>
    <t>Dias</t>
  </si>
  <si>
    <t>Meses</t>
  </si>
  <si>
    <t>Años</t>
  </si>
  <si>
    <t>Años con Meses y Dias</t>
  </si>
  <si>
    <t>Porcentaje de ventas a nivel mundial de L'Oréal por zona geográfica 2016-2020</t>
  </si>
  <si>
    <t>Distribución porcentual de las ventas de L'Oréal a nivel mundial en 2016 y 2020, por zona geográfica</t>
  </si>
  <si>
    <t>Año/Región</t>
  </si>
  <si>
    <t>Europa Occidental</t>
  </si>
  <si>
    <t>Norteamérica</t>
  </si>
  <si>
    <t>Asia Pacífico</t>
  </si>
  <si>
    <t>Latinoamérica</t>
  </si>
  <si>
    <t>Europa Oriental</t>
  </si>
  <si>
    <t>África y Oriente Medio</t>
  </si>
  <si>
    <t>Región</t>
  </si>
  <si>
    <t>Fila</t>
  </si>
  <si>
    <t>Porcentaje</t>
  </si>
  <si>
    <t>Producto/Cantidad</t>
  </si>
  <si>
    <t>Producto</t>
  </si>
  <si>
    <t>Nintendo</t>
  </si>
  <si>
    <t>Xbox</t>
  </si>
  <si>
    <t>Cantidad</t>
  </si>
  <si>
    <t>PlayStation</t>
  </si>
  <si>
    <t>PC Gamer</t>
  </si>
  <si>
    <t>Ventas de consolas</t>
  </si>
  <si>
    <t>Descuentos según cantidad de consolas adquiridas</t>
  </si>
  <si>
    <t>Año/Tipo</t>
  </si>
  <si>
    <t>Refrescos de cola</t>
  </si>
  <si>
    <t>Gaseosas</t>
  </si>
  <si>
    <t>Refrescos sabor naranja</t>
  </si>
  <si>
    <t>Refrescos sabor limón</t>
  </si>
  <si>
    <t>Bebidas isotónicas</t>
  </si>
  <si>
    <t>Bebidas de zumo con leche</t>
  </si>
  <si>
    <t>Refrescos de té/café</t>
  </si>
  <si>
    <t>Tónica</t>
  </si>
  <si>
    <t>Consumo de refrescos y gaseosas por tipo en España 2011-2020</t>
  </si>
  <si>
    <t>Volumen de refrescos y gaseosas consumidos en España desde 2011 hasta 2020, por tipo (en miles de kilogramos)</t>
  </si>
  <si>
    <t>% del Total</t>
  </si>
  <si>
    <t>Crecimiento</t>
  </si>
  <si>
    <t>Crecimiento %</t>
  </si>
  <si>
    <t>Primary Key (Llave primaria)</t>
  </si>
  <si>
    <t>Objeto</t>
  </si>
  <si>
    <t>Precio x Unidad</t>
  </si>
  <si>
    <t>Precio Total</t>
  </si>
  <si>
    <t>Descuento Si/No</t>
  </si>
  <si>
    <t>Descuento en $</t>
  </si>
  <si>
    <t>Precio Final</t>
  </si>
  <si>
    <t>Laptop</t>
  </si>
  <si>
    <t>TV</t>
  </si>
  <si>
    <t>Escritorio</t>
  </si>
  <si>
    <t>Silla</t>
  </si>
  <si>
    <t>Venta mayor a</t>
  </si>
  <si>
    <t>PC</t>
  </si>
  <si>
    <t>Descuentos por volumen de compra</t>
  </si>
  <si>
    <t>Alumno</t>
  </si>
  <si>
    <t>Calificación</t>
  </si>
  <si>
    <t>Porcentaje de beca</t>
  </si>
  <si>
    <t>Luis</t>
  </si>
  <si>
    <t>Aprobado</t>
  </si>
  <si>
    <t>Fernanda</t>
  </si>
  <si>
    <t>Reprobado</t>
  </si>
  <si>
    <t>Ana</t>
  </si>
  <si>
    <t>Héctor</t>
  </si>
  <si>
    <t>Jorge</t>
  </si>
  <si>
    <t>Julio</t>
  </si>
  <si>
    <t>Silvana</t>
  </si>
  <si>
    <t>Gerardo</t>
  </si>
  <si>
    <t>Lista de Calificaciones</t>
  </si>
  <si>
    <t>&lt;=6</t>
  </si>
  <si>
    <t>&gt;6</t>
  </si>
  <si>
    <t>Nulo</t>
  </si>
  <si>
    <t>&lt;=7</t>
  </si>
  <si>
    <t>&lt;8</t>
  </si>
  <si>
    <t>&lt;9</t>
  </si>
  <si>
    <t>&gt;=9</t>
  </si>
  <si>
    <t>Tabla de comisiones</t>
  </si>
  <si>
    <t>Comisión %</t>
  </si>
  <si>
    <t>Criterio</t>
  </si>
  <si>
    <t>Tasa</t>
  </si>
  <si>
    <t>Comisión $</t>
  </si>
  <si>
    <t>Tabla de Comisiones por Venta</t>
  </si>
  <si>
    <t>Paquete</t>
  </si>
  <si>
    <t>Destino</t>
  </si>
  <si>
    <t>Regalo</t>
  </si>
  <si>
    <t>Paquete 1</t>
  </si>
  <si>
    <t>Paquete 2</t>
  </si>
  <si>
    <t>Estados Unidos</t>
  </si>
  <si>
    <t>España</t>
  </si>
  <si>
    <t>Desayunos buffet en toda la estancia</t>
  </si>
  <si>
    <t>1 Cena VIP para todos los integrantes</t>
  </si>
  <si>
    <t>1 persona adicional gratis</t>
  </si>
  <si>
    <t>1 tour gratis</t>
  </si>
  <si>
    <t>Singapur</t>
  </si>
  <si>
    <t>1 Maleta</t>
  </si>
  <si>
    <t>Descuento del 20%</t>
  </si>
  <si>
    <t>Finlandia</t>
  </si>
  <si>
    <t>Francia</t>
  </si>
  <si>
    <t>Alemania</t>
  </si>
  <si>
    <t>Brasil</t>
  </si>
  <si>
    <t>Inversión por departamento</t>
  </si>
  <si>
    <t>Department</t>
  </si>
  <si>
    <t>Inversión</t>
  </si>
  <si>
    <t>Efectivo</t>
  </si>
  <si>
    <t>Human Resources</t>
  </si>
  <si>
    <t>Finance</t>
  </si>
  <si>
    <t>Marketing</t>
  </si>
  <si>
    <t>Sales (Corporate)</t>
  </si>
  <si>
    <t xml:space="preserve">Fase proyecto </t>
  </si>
  <si>
    <t>Fase 1</t>
  </si>
  <si>
    <t>OK</t>
  </si>
  <si>
    <t>Fase 2</t>
  </si>
  <si>
    <t>Fase 3</t>
  </si>
  <si>
    <t>Proyecto terminado</t>
  </si>
  <si>
    <t>Proyecto en curso</t>
  </si>
  <si>
    <t>Indicador de finalización de proyecto</t>
  </si>
  <si>
    <t>Lista de regalos según paquete</t>
  </si>
  <si>
    <t>Ejemplo</t>
  </si>
  <si>
    <t>M8C1</t>
  </si>
  <si>
    <t>Beca</t>
  </si>
  <si>
    <t>Funciones de texto 365: TextoAntes, TextoDespués y DividirTexto</t>
  </si>
  <si>
    <t>WARE-NMK10036</t>
  </si>
  <si>
    <t>WARE-PUJ10059000</t>
  </si>
  <si>
    <t>WARE-PUJ100544</t>
  </si>
  <si>
    <t>WARE-UHY10</t>
  </si>
  <si>
    <t>WARE-1</t>
  </si>
  <si>
    <t>Código antes</t>
  </si>
  <si>
    <t>Código después</t>
  </si>
  <si>
    <t>WARE 1-UHY100456</t>
  </si>
  <si>
    <t>WARE 687-NMK1003</t>
  </si>
  <si>
    <t>WARE 857-UHY1004</t>
  </si>
  <si>
    <t>WARE 88-PUJ10</t>
  </si>
  <si>
    <t>Fecha corregida</t>
  </si>
  <si>
    <t>Fecha corregida sin 365</t>
  </si>
  <si>
    <t>Dividir</t>
  </si>
  <si>
    <t>SO -   000101</t>
  </si>
  <si>
    <t>SO</t>
  </si>
  <si>
    <t>08/23/2022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</si>
</sst>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 #,##0.00\ &quot;€&quot;_-;\-* #,##0.00\ &quot;€&quot;_-;_-* &quot;-&quot;??\ &quot;€&quot;_-;_-@_-"/>
    <numFmt numFmtId="43" formatCode="_-* #,##0.00_-;\-* #,##0.00_-;_-* &quot;-&quot;??_-;_-@_-"/>
    <numFmt numFmtId="164" formatCode="&quot;$&quot;#,##0;[Red]\-&quot;$&quot;#,##0"/>
    <numFmt numFmtId="165" formatCode="&quot;$&quot;#,##0.00;[Red]\-&quot;$&quot;#,##0.00"/>
    <numFmt numFmtId="166" formatCode="_-&quot;$&quot;* #,##0_-;\-&quot;$&quot;* #,##0_-;_-&quot;$&quot;* &quot;-&quot;_-;_-@_-"/>
    <numFmt numFmtId="167" formatCode="_-&quot;$&quot;* #,##0.00_-;\-&quot;$&quot;* #,##0.00_-;_-&quot;$&quot;* &quot;-&quot;??_-;_-@_-"/>
    <numFmt numFmtId="168" formatCode="#,##0.0"/>
    <numFmt numFmtId="169" formatCode="[$-F800]dddd\,\ mmmm\ dd\,\ yyyy"/>
    <numFmt numFmtId="170" formatCode="&quot;$&quot;#,##0.00_);[Red]\(&quot;$&quot;#,##0.00\)"/>
  </numFmts>
  <fonts count="16" x14ac:knownFonts="1">
    <font>
      <sz val="11"/>
      <color theme="1"/>
      <name val="Lato"/>
      <family val="2"/>
    </font>
    <font>
      <b/>
      <sz val="11"/>
      <color theme="0"/>
      <name val="Lato"/>
      <family val="2"/>
    </font>
    <font>
      <b/>
      <sz val="11"/>
      <color theme="1"/>
      <name val="Lato"/>
      <family val="2"/>
    </font>
    <font>
      <b/>
      <sz val="11"/>
      <color theme="0"/>
      <name val="Montserrat"/>
    </font>
    <font>
      <sz val="11"/>
      <color theme="1"/>
      <name val="Montserrat"/>
    </font>
    <font>
      <u/>
      <sz val="11"/>
      <color theme="10"/>
      <name val="Lato"/>
      <family val="2"/>
    </font>
    <font>
      <b/>
      <sz val="11"/>
      <color theme="1"/>
      <name val="Montserrat"/>
    </font>
    <font>
      <sz val="10"/>
      <name val="Arial"/>
      <family val="2"/>
    </font>
    <font>
      <sz val="11"/>
      <color theme="1"/>
      <name val="Century Gothic"/>
      <family val="2"/>
    </font>
    <font>
      <b/>
      <sz val="11"/>
      <color theme="0"/>
      <name val="Century Gothic"/>
      <family val="2"/>
    </font>
    <font>
      <b/>
      <sz val="10"/>
      <color theme="0"/>
      <name val="Century Gothic"/>
      <family val="2"/>
    </font>
    <font>
      <b/>
      <sz val="10"/>
      <name val="Montserrat"/>
    </font>
    <font>
      <b/>
      <sz val="10"/>
      <color theme="0"/>
      <name val="Montserrat"/>
    </font>
    <font>
      <i/>
      <sz val="11"/>
      <color theme="1"/>
      <name val="Lato"/>
      <family val="2"/>
    </font>
    <font>
      <b/>
      <sz val="11"/>
      <color theme="1"/>
      <name val="Century Gothic"/>
      <family val="2"/>
    </font>
    <font>
      <sz val="11"/>
      <color theme="1"/>
      <name val="Lato"/>
      <family val="2"/>
    </font>
  </fonts>
  <fills count="7">
    <fill>
      <patternFill patternType="none"/>
    </fill>
    <fill>
      <patternFill patternType="gray125"/>
    </fill>
    <fill>
      <patternFill patternType="solid">
        <fgColor rgb="FF00B0F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rgb="FF00B0F0"/>
        <bgColor theme="0" tint="-0.14999847407452621"/>
      </patternFill>
    </fill>
  </fills>
  <borders count="7">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medium">
        <color theme="0"/>
      </left>
      <right style="medium">
        <color theme="0"/>
      </right>
      <top style="medium">
        <color theme="0"/>
      </top>
      <bottom style="medium">
        <color theme="0"/>
      </bottom>
      <diagonal/>
    </border>
    <border>
      <left style="medium">
        <color theme="0"/>
      </left>
      <right/>
      <top/>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thin">
        <color theme="0" tint="-0.14999847407452621"/>
      </left>
      <right/>
      <top style="thin">
        <color theme="0" tint="-0.14999847407452621"/>
      </top>
      <bottom style="thin">
        <color theme="0" tint="-0.14999847407452621"/>
      </bottom>
      <diagonal/>
    </border>
  </borders>
  <cellStyleXfs count="9">
    <xf numFmtId="0" fontId="0" fillId="0" borderId="0"/>
    <xf numFmtId="0" fontId="5" fillId="0" borderId="0" applyNumberFormat="0" applyFill="0" applyBorder="0" applyAlignment="0" applyProtection="0"/>
    <xf numFmtId="0" fontId="7" fillId="0" borderId="0"/>
    <xf numFmtId="9" fontId="7" fillId="0" borderId="0" applyFont="0" applyFill="0" applyBorder="0" applyAlignment="0" applyProtection="0"/>
    <xf numFmtId="167" fontId="7" fillId="0" borderId="0" applyFont="0" applyFill="0" applyBorder="0" applyAlignment="0" applyProtection="0"/>
    <xf numFmtId="166" fontId="7" fillId="0" borderId="0" applyFont="0" applyFill="0" applyBorder="0" applyAlignment="0" applyProtection="0"/>
    <xf numFmtId="43" fontId="7" fillId="0" borderId="0" applyFont="0" applyFill="0" applyBorder="0" applyAlignment="0" applyProtection="0"/>
    <xf numFmtId="41" fontId="7" fillId="0" borderId="0" applyFont="0" applyFill="0" applyBorder="0" applyAlignment="0" applyProtection="0"/>
    <xf numFmtId="44" fontId="15" fillId="0" borderId="0" applyFont="0" applyFill="0" applyBorder="0" applyAlignment="0" applyProtection="0"/>
  </cellStyleXfs>
  <cellXfs count="123">
    <xf numFmtId="0" fontId="0" fillId="0" borderId="0" xfId="0"/>
    <xf numFmtId="0" fontId="1" fillId="2" borderId="0" xfId="0" applyFont="1" applyFill="1"/>
    <xf numFmtId="0" fontId="4" fillId="0" borderId="0" xfId="0" applyFont="1"/>
    <xf numFmtId="165" fontId="4" fillId="0" borderId="0" xfId="0" applyNumberFormat="1" applyFont="1"/>
    <xf numFmtId="0" fontId="6" fillId="0" borderId="0" xfId="0" applyFont="1"/>
    <xf numFmtId="14" fontId="0" fillId="0" borderId="0" xfId="0" applyNumberFormat="1"/>
    <xf numFmtId="4" fontId="0" fillId="0" borderId="0" xfId="0" applyNumberFormat="1"/>
    <xf numFmtId="0" fontId="4" fillId="0" borderId="0" xfId="0" applyFont="1" applyAlignment="1">
      <alignment horizontal="center" vertical="center"/>
    </xf>
    <xf numFmtId="9" fontId="0" fillId="0" borderId="0" xfId="0" applyNumberFormat="1"/>
    <xf numFmtId="0" fontId="0" fillId="0" borderId="0" xfId="0" applyAlignment="1">
      <alignment horizontal="center" vertical="center"/>
    </xf>
    <xf numFmtId="0" fontId="1" fillId="2" borderId="0" xfId="0" applyFont="1" applyFill="1" applyAlignment="1">
      <alignment horizontal="center" vertical="center"/>
    </xf>
    <xf numFmtId="0" fontId="0" fillId="3" borderId="0" xfId="0" applyFill="1"/>
    <xf numFmtId="9" fontId="0" fillId="3" borderId="0" xfId="0" applyNumberFormat="1" applyFill="1"/>
    <xf numFmtId="0" fontId="5" fillId="0" borderId="0" xfId="1"/>
    <xf numFmtId="0" fontId="3" fillId="2" borderId="1" xfId="0" applyFont="1" applyFill="1" applyBorder="1" applyAlignment="1">
      <alignment horizontal="center" vertical="center"/>
    </xf>
    <xf numFmtId="0" fontId="4" fillId="0" borderId="1" xfId="0" applyFont="1" applyBorder="1"/>
    <xf numFmtId="9" fontId="4" fillId="0" borderId="1" xfId="0" applyNumberFormat="1" applyFont="1" applyBorder="1"/>
    <xf numFmtId="0" fontId="4" fillId="3" borderId="1" xfId="0" applyFont="1" applyFill="1" applyBorder="1"/>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9" fontId="4" fillId="3" borderId="1" xfId="0" applyNumberFormat="1" applyFont="1" applyFill="1" applyBorder="1" applyAlignment="1">
      <alignment horizontal="center" vertical="center"/>
    </xf>
    <xf numFmtId="0" fontId="3" fillId="2" borderId="1" xfId="0" applyFont="1" applyFill="1" applyBorder="1"/>
    <xf numFmtId="0" fontId="4" fillId="0" borderId="1" xfId="0" applyFont="1" applyBorder="1" applyAlignment="1">
      <alignment horizontal="left" vertical="center"/>
    </xf>
    <xf numFmtId="4" fontId="4" fillId="3" borderId="0" xfId="0" applyNumberFormat="1" applyFont="1" applyFill="1" applyAlignment="1">
      <alignment horizontal="center" vertical="center"/>
    </xf>
    <xf numFmtId="4" fontId="4" fillId="0" borderId="1" xfId="0" applyNumberFormat="1" applyFont="1" applyBorder="1"/>
    <xf numFmtId="3" fontId="4" fillId="0" borderId="1" xfId="0" applyNumberFormat="1" applyFont="1" applyBorder="1"/>
    <xf numFmtId="3" fontId="4" fillId="0" borderId="0" xfId="0" applyNumberFormat="1" applyFont="1" applyAlignment="1">
      <alignment horizontal="center" vertical="center"/>
    </xf>
    <xf numFmtId="3" fontId="4" fillId="3" borderId="0" xfId="0" applyNumberFormat="1" applyFont="1" applyFill="1" applyAlignment="1">
      <alignment horizontal="center" vertical="center"/>
    </xf>
    <xf numFmtId="0" fontId="2" fillId="0" borderId="0" xfId="0" applyFont="1"/>
    <xf numFmtId="4" fontId="4" fillId="0" borderId="0" xfId="0" applyNumberFormat="1" applyFont="1"/>
    <xf numFmtId="3" fontId="4" fillId="0" borderId="0" xfId="0" applyNumberFormat="1" applyFont="1"/>
    <xf numFmtId="0" fontId="0" fillId="0" borderId="1" xfId="0" applyBorder="1"/>
    <xf numFmtId="0" fontId="0" fillId="0" borderId="1" xfId="0" applyBorder="1" applyAlignment="1">
      <alignment horizontal="center" vertical="center"/>
    </xf>
    <xf numFmtId="0" fontId="0" fillId="3" borderId="1" xfId="0" applyFill="1" applyBorder="1" applyAlignment="1">
      <alignment horizontal="center" vertical="center"/>
    </xf>
    <xf numFmtId="164" fontId="4" fillId="0" borderId="1" xfId="0" applyNumberFormat="1" applyFont="1" applyBorder="1"/>
    <xf numFmtId="164" fontId="4" fillId="3" borderId="1" xfId="0" applyNumberFormat="1" applyFont="1" applyFill="1" applyBorder="1" applyAlignment="1">
      <alignment horizontal="center" vertical="center"/>
    </xf>
    <xf numFmtId="0" fontId="0" fillId="3" borderId="1" xfId="0" applyFill="1" applyBorder="1"/>
    <xf numFmtId="22" fontId="4" fillId="3" borderId="0" xfId="0" applyNumberFormat="1" applyFont="1" applyFill="1"/>
    <xf numFmtId="0" fontId="3" fillId="2" borderId="0" xfId="0" applyFont="1" applyFill="1"/>
    <xf numFmtId="165" fontId="3" fillId="2" borderId="0" xfId="0" applyNumberFormat="1" applyFont="1" applyFill="1"/>
    <xf numFmtId="3" fontId="0" fillId="0" borderId="1" xfId="0" applyNumberFormat="1" applyBorder="1"/>
    <xf numFmtId="168" fontId="0" fillId="0" borderId="1" xfId="0" applyNumberFormat="1" applyBorder="1"/>
    <xf numFmtId="164" fontId="4" fillId="3" borderId="1" xfId="0" applyNumberFormat="1" applyFont="1" applyFill="1" applyBorder="1"/>
    <xf numFmtId="165" fontId="3" fillId="2" borderId="1" xfId="0" applyNumberFormat="1" applyFont="1" applyFill="1" applyBorder="1"/>
    <xf numFmtId="3" fontId="4" fillId="3" borderId="1" xfId="0" applyNumberFormat="1" applyFont="1" applyFill="1" applyBorder="1"/>
    <xf numFmtId="3" fontId="3" fillId="2" borderId="1" xfId="0" applyNumberFormat="1" applyFont="1" applyFill="1" applyBorder="1"/>
    <xf numFmtId="14" fontId="4" fillId="0" borderId="0" xfId="0" applyNumberFormat="1" applyFont="1"/>
    <xf numFmtId="14" fontId="4" fillId="0" borderId="1" xfId="0" applyNumberFormat="1" applyFont="1" applyBorder="1"/>
    <xf numFmtId="1" fontId="4" fillId="0" borderId="1" xfId="0" applyNumberFormat="1" applyFont="1" applyBorder="1"/>
    <xf numFmtId="49" fontId="4" fillId="0" borderId="1" xfId="0" applyNumberFormat="1" applyFont="1" applyBorder="1"/>
    <xf numFmtId="14" fontId="4" fillId="0" borderId="1" xfId="0" applyNumberFormat="1" applyFont="1" applyBorder="1" applyAlignment="1">
      <alignment horizontal="right"/>
    </xf>
    <xf numFmtId="0" fontId="3" fillId="2" borderId="0" xfId="0" applyFont="1" applyFill="1" applyAlignment="1">
      <alignment horizontal="center" vertical="center"/>
    </xf>
    <xf numFmtId="0" fontId="3" fillId="2" borderId="0" xfId="0" quotePrefix="1" applyFont="1" applyFill="1" applyAlignment="1">
      <alignment horizontal="center" vertical="center"/>
    </xf>
    <xf numFmtId="14" fontId="4" fillId="3" borderId="0" xfId="0" applyNumberFormat="1" applyFont="1" applyFill="1"/>
    <xf numFmtId="0" fontId="3" fillId="2" borderId="1" xfId="0" quotePrefix="1" applyFont="1" applyFill="1" applyBorder="1"/>
    <xf numFmtId="14" fontId="0" fillId="3" borderId="1" xfId="0" applyNumberFormat="1" applyFill="1" applyBorder="1"/>
    <xf numFmtId="169" fontId="4" fillId="0" borderId="1" xfId="0" applyNumberFormat="1" applyFont="1" applyBorder="1"/>
    <xf numFmtId="1" fontId="4" fillId="3" borderId="1" xfId="0" applyNumberFormat="1" applyFont="1" applyFill="1" applyBorder="1"/>
    <xf numFmtId="0" fontId="3" fillId="2" borderId="2" xfId="0" applyFont="1" applyFill="1" applyBorder="1"/>
    <xf numFmtId="0" fontId="8" fillId="0" borderId="0" xfId="0" applyFont="1"/>
    <xf numFmtId="9" fontId="8" fillId="5" borderId="3" xfId="0" applyNumberFormat="1" applyFont="1" applyFill="1" applyBorder="1" applyAlignment="1">
      <alignment wrapText="1"/>
    </xf>
    <xf numFmtId="9" fontId="8" fillId="5" borderId="3" xfId="0" applyNumberFormat="1" applyFont="1" applyFill="1" applyBorder="1"/>
    <xf numFmtId="9" fontId="8" fillId="4" borderId="3" xfId="0" applyNumberFormat="1" applyFont="1" applyFill="1" applyBorder="1" applyAlignment="1">
      <alignment wrapText="1"/>
    </xf>
    <xf numFmtId="9" fontId="8" fillId="4" borderId="3" xfId="0" applyNumberFormat="1" applyFont="1" applyFill="1" applyBorder="1"/>
    <xf numFmtId="9" fontId="8" fillId="3" borderId="3" xfId="0" applyNumberFormat="1" applyFont="1" applyFill="1" applyBorder="1" applyAlignment="1">
      <alignment horizontal="center"/>
    </xf>
    <xf numFmtId="0" fontId="4" fillId="4" borderId="3" xfId="0" applyFont="1" applyFill="1" applyBorder="1" applyAlignment="1">
      <alignment horizontal="center" vertical="center"/>
    </xf>
    <xf numFmtId="9" fontId="4" fillId="5" borderId="3" xfId="0" applyNumberFormat="1" applyFont="1" applyFill="1" applyBorder="1" applyAlignment="1">
      <alignment wrapText="1"/>
    </xf>
    <xf numFmtId="9" fontId="4" fillId="5" borderId="3" xfId="0" applyNumberFormat="1" applyFont="1" applyFill="1" applyBorder="1"/>
    <xf numFmtId="9" fontId="4" fillId="4" borderId="3" xfId="0" applyNumberFormat="1" applyFont="1" applyFill="1" applyBorder="1" applyAlignment="1">
      <alignment horizontal="center" vertical="center"/>
    </xf>
    <xf numFmtId="9" fontId="4" fillId="4" borderId="3" xfId="0" applyNumberFormat="1" applyFont="1" applyFill="1" applyBorder="1" applyAlignment="1">
      <alignment wrapText="1"/>
    </xf>
    <xf numFmtId="9" fontId="4" fillId="4" borderId="3" xfId="0" applyNumberFormat="1" applyFont="1" applyFill="1" applyBorder="1"/>
    <xf numFmtId="3" fontId="4" fillId="3" borderId="3" xfId="0" applyNumberFormat="1" applyFont="1" applyFill="1" applyBorder="1" applyAlignment="1">
      <alignment horizontal="center"/>
    </xf>
    <xf numFmtId="9" fontId="4" fillId="3" borderId="3" xfId="0" applyNumberFormat="1" applyFont="1" applyFill="1" applyBorder="1" applyAlignment="1">
      <alignment horizontal="center"/>
    </xf>
    <xf numFmtId="0" fontId="3" fillId="2" borderId="3" xfId="0" applyFont="1" applyFill="1" applyBorder="1" applyAlignment="1">
      <alignment horizontal="center" vertical="center" wrapText="1"/>
    </xf>
    <xf numFmtId="0" fontId="12" fillId="2" borderId="3" xfId="0" applyFont="1" applyFill="1" applyBorder="1" applyAlignment="1">
      <alignment horizont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8" fillId="4" borderId="3" xfId="0" applyFont="1" applyFill="1" applyBorder="1" applyAlignment="1">
      <alignment horizontal="center"/>
    </xf>
    <xf numFmtId="0" fontId="9" fillId="2" borderId="3" xfId="0" applyFont="1" applyFill="1" applyBorder="1" applyAlignment="1">
      <alignment horizontal="center" vertical="center" wrapText="1"/>
    </xf>
    <xf numFmtId="0" fontId="10" fillId="6" borderId="3" xfId="0" applyFont="1" applyFill="1" applyBorder="1" applyAlignment="1">
      <alignment horizontal="center" wrapText="1"/>
    </xf>
    <xf numFmtId="0" fontId="10" fillId="2" borderId="3" xfId="0" applyFont="1" applyFill="1" applyBorder="1" applyAlignment="1">
      <alignment horizontal="center" wrapText="1"/>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3" fontId="8" fillId="4" borderId="3" xfId="0" applyNumberFormat="1" applyFont="1" applyFill="1" applyBorder="1" applyAlignment="1">
      <alignment horizontal="right" vertical="center"/>
    </xf>
    <xf numFmtId="0" fontId="10" fillId="2" borderId="3" xfId="0" applyFont="1" applyFill="1" applyBorder="1" applyAlignment="1">
      <alignment horizontal="center" vertical="center" wrapText="1"/>
    </xf>
    <xf numFmtId="0" fontId="10" fillId="2" borderId="3" xfId="0" applyFont="1" applyFill="1" applyBorder="1" applyAlignment="1">
      <alignment horizontal="left" vertical="center"/>
    </xf>
    <xf numFmtId="0" fontId="10" fillId="2" borderId="3" xfId="0" applyFont="1" applyFill="1" applyBorder="1" applyAlignment="1">
      <alignment horizontal="center" vertical="center"/>
    </xf>
    <xf numFmtId="9" fontId="4" fillId="0" borderId="0" xfId="0" applyNumberFormat="1" applyFont="1"/>
    <xf numFmtId="9" fontId="4" fillId="3" borderId="1" xfId="0" applyNumberFormat="1" applyFont="1" applyFill="1" applyBorder="1"/>
    <xf numFmtId="10" fontId="4" fillId="3" borderId="1" xfId="0" applyNumberFormat="1" applyFont="1" applyFill="1" applyBorder="1"/>
    <xf numFmtId="0" fontId="1" fillId="2" borderId="5" xfId="0" applyFont="1" applyFill="1" applyBorder="1"/>
    <xf numFmtId="0" fontId="0" fillId="0" borderId="5" xfId="0" applyBorder="1"/>
    <xf numFmtId="164" fontId="0" fillId="0" borderId="5" xfId="0" applyNumberFormat="1" applyBorder="1"/>
    <xf numFmtId="0" fontId="13" fillId="0" borderId="0" xfId="0" applyFont="1" applyAlignment="1">
      <alignment horizontal="center" vertical="center"/>
    </xf>
    <xf numFmtId="164" fontId="0" fillId="0" borderId="0" xfId="0" applyNumberFormat="1" applyAlignment="1">
      <alignment horizontal="center" vertical="center"/>
    </xf>
    <xf numFmtId="9" fontId="0" fillId="0" borderId="0" xfId="0" applyNumberFormat="1" applyAlignment="1">
      <alignment horizontal="center" vertical="center"/>
    </xf>
    <xf numFmtId="0" fontId="3" fillId="2" borderId="5" xfId="0" applyFont="1" applyFill="1" applyBorder="1"/>
    <xf numFmtId="0" fontId="4" fillId="0" borderId="5" xfId="0" applyFont="1" applyBorder="1"/>
    <xf numFmtId="9" fontId="0" fillId="0" borderId="5" xfId="0" applyNumberFormat="1" applyBorder="1"/>
    <xf numFmtId="0" fontId="0" fillId="3" borderId="5" xfId="0" applyFill="1" applyBorder="1"/>
    <xf numFmtId="0" fontId="9" fillId="2" borderId="5" xfId="0" applyFont="1" applyFill="1" applyBorder="1"/>
    <xf numFmtId="0" fontId="8" fillId="0" borderId="5" xfId="0" applyFont="1" applyBorder="1"/>
    <xf numFmtId="165" fontId="8" fillId="0" borderId="5" xfId="0" applyNumberFormat="1" applyFont="1" applyBorder="1"/>
    <xf numFmtId="9" fontId="8" fillId="0" borderId="5" xfId="0" applyNumberFormat="1" applyFont="1" applyBorder="1"/>
    <xf numFmtId="165" fontId="14" fillId="4" borderId="5" xfId="0" applyNumberFormat="1" applyFont="1" applyFill="1" applyBorder="1"/>
    <xf numFmtId="9" fontId="8" fillId="3" borderId="5" xfId="0" applyNumberFormat="1" applyFont="1" applyFill="1" applyBorder="1"/>
    <xf numFmtId="170" fontId="8" fillId="3" borderId="5" xfId="0" applyNumberFormat="1" applyFont="1" applyFill="1" applyBorder="1"/>
    <xf numFmtId="0" fontId="0" fillId="0" borderId="0" xfId="0" applyAlignment="1">
      <alignment horizontal="right"/>
    </xf>
    <xf numFmtId="0" fontId="4" fillId="3" borderId="5" xfId="0" applyFont="1" applyFill="1" applyBorder="1"/>
    <xf numFmtId="0" fontId="3" fillId="2" borderId="6" xfId="0" applyFont="1" applyFill="1" applyBorder="1" applyAlignment="1">
      <alignment horizontal="center" vertical="center"/>
    </xf>
    <xf numFmtId="0" fontId="4" fillId="0" borderId="6" xfId="0" applyFont="1" applyBorder="1"/>
    <xf numFmtId="0" fontId="3" fillId="2" borderId="5" xfId="0" applyFont="1" applyFill="1" applyBorder="1" applyAlignment="1">
      <alignment horizontal="center" vertical="center"/>
    </xf>
    <xf numFmtId="164" fontId="0" fillId="3" borderId="5" xfId="0" applyNumberFormat="1" applyFill="1" applyBorder="1"/>
    <xf numFmtId="9" fontId="0" fillId="3" borderId="5" xfId="0" applyNumberFormat="1" applyFill="1" applyBorder="1"/>
    <xf numFmtId="0" fontId="3" fillId="2" borderId="6" xfId="0" applyFont="1" applyFill="1" applyBorder="1"/>
    <xf numFmtId="49" fontId="4" fillId="0" borderId="0" xfId="0" applyNumberFormat="1" applyFont="1"/>
    <xf numFmtId="0" fontId="4" fillId="0" borderId="0" xfId="0" applyFont="1" applyAlignment="1">
      <alignment horizontal="left" vertical="center" wrapText="1"/>
    </xf>
    <xf numFmtId="0" fontId="11" fillId="0" borderId="0" xfId="0" applyFont="1" applyAlignment="1">
      <alignment horizontal="left" vertical="center" wrapText="1"/>
    </xf>
    <xf numFmtId="0" fontId="4" fillId="0" borderId="0" xfId="0" applyFont="1" applyAlignment="1">
      <alignment horizontal="left" vertical="center" wrapText="1"/>
    </xf>
    <xf numFmtId="0" fontId="9" fillId="2" borderId="5" xfId="0" applyFont="1" applyFill="1" applyBorder="1" applyAlignment="1">
      <alignment horizontal="center"/>
    </xf>
    <xf numFmtId="1" fontId="4" fillId="3" borderId="1" xfId="8" applyNumberFormat="1" applyFont="1" applyFill="1" applyBorder="1"/>
    <xf numFmtId="0" fontId="4" fillId="3" borderId="1" xfId="0" applyNumberFormat="1" applyFont="1" applyFill="1" applyBorder="1"/>
    <xf numFmtId="3" fontId="8" fillId="3" borderId="3" xfId="0" applyNumberFormat="1" applyFont="1" applyFill="1" applyBorder="1" applyAlignment="1">
      <alignment horizontal="center"/>
    </xf>
  </cellXfs>
  <cellStyles count="9">
    <cellStyle name="Comma" xfId="6" xr:uid="{7351A94A-9424-49CB-9AD3-04ED82600573}"/>
    <cellStyle name="Comma [0]" xfId="7" xr:uid="{6194F1A1-AA63-480B-B52A-3EBDD7FD75A1}"/>
    <cellStyle name="Currency" xfId="4" xr:uid="{87E21D41-5DCE-4E61-B8D7-5BC5677F2103}"/>
    <cellStyle name="Currency [0]" xfId="5" xr:uid="{36E5F398-4A77-498B-B97A-59562AD51365}"/>
    <cellStyle name="Hipervínculo" xfId="1" builtinId="8"/>
    <cellStyle name="Moneda" xfId="8" builtinId="4"/>
    <cellStyle name="Normal" xfId="0" builtinId="0"/>
    <cellStyle name="Normal 2" xfId="2" xr:uid="{CD0913A1-8568-4E12-A3B6-DEFCE43BE4C6}"/>
    <cellStyle name="Percent" xfId="3" xr:uid="{110A2E78-3FC2-4E0A-B59F-BD012641E2B3}"/>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hyperlink" Target="#Temario!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svg"/><Relationship Id="rId7"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9.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2.svg"/></Relationships>
</file>

<file path=xl/drawings/_rels/drawing10.xml.rels><?xml version="1.0" encoding="UTF-8" standalone="yes"?>
<Relationships xmlns="http://schemas.openxmlformats.org/package/2006/relationships"><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10.svg"/><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svg"/><Relationship Id="rId7"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9.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2.svg"/></Relationships>
</file>

<file path=xl/drawings/_rels/drawing1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svg"/><Relationship Id="rId7"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9.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2.svg"/></Relationships>
</file>

<file path=xl/drawings/_rels/drawing1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svg"/><Relationship Id="rId7"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9.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2.svg"/></Relationships>
</file>

<file path=xl/drawings/_rels/drawing1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svg"/><Relationship Id="rId7"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9.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2.svg"/></Relationships>
</file>

<file path=xl/drawings/_rels/drawing15.xml.rels><?xml version="1.0" encoding="UTF-8" standalone="yes"?>
<Relationships xmlns="http://schemas.openxmlformats.org/package/2006/relationships"><Relationship Id="rId3" Type="http://schemas.openxmlformats.org/officeDocument/2006/relationships/hyperlink" Target="#Temario!A1"/><Relationship Id="rId7" Type="http://schemas.openxmlformats.org/officeDocument/2006/relationships/image" Target="../media/image12.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1.png"/><Relationship Id="rId5" Type="http://schemas.openxmlformats.org/officeDocument/2006/relationships/image" Target="../media/image8.svg"/><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14.svg"/><Relationship Id="rId4"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0.svg"/></Relationships>
</file>

<file path=xl/drawings/_rels/drawing18.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5" Type="http://schemas.openxmlformats.org/officeDocument/2006/relationships/hyperlink" Target="#Temario!A1"/><Relationship Id="rId4" Type="http://schemas.openxmlformats.org/officeDocument/2006/relationships/image" Target="../media/image6.svg"/></Relationships>
</file>

<file path=xl/drawings/_rels/drawing1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0.svg"/></Relationships>
</file>

<file path=xl/drawings/_rels/drawing20.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12.svg"/><Relationship Id="rId7" Type="http://schemas.openxmlformats.org/officeDocument/2006/relationships/image" Target="../media/image7.png"/><Relationship Id="rId2" Type="http://schemas.openxmlformats.org/officeDocument/2006/relationships/image" Target="../media/image15.svg"/><Relationship Id="rId1" Type="http://schemas.openxmlformats.org/officeDocument/2006/relationships/image" Target="../media/image11.png"/><Relationship Id="rId6" Type="http://schemas.openxmlformats.org/officeDocument/2006/relationships/hyperlink" Target="#Temario!A1"/><Relationship Id="rId5" Type="http://schemas.openxmlformats.org/officeDocument/2006/relationships/image" Target="../media/image6.svg"/><Relationship Id="rId4" Type="http://schemas.openxmlformats.org/officeDocument/2006/relationships/image" Target="../media/image5.png"/></Relationships>
</file>

<file path=xl/drawings/_rels/drawing21.xml.rels><?xml version="1.0" encoding="UTF-8" standalone="yes"?>
<Relationships xmlns="http://schemas.openxmlformats.org/package/2006/relationships"><Relationship Id="rId3" Type="http://schemas.openxmlformats.org/officeDocument/2006/relationships/hyperlink" Target="#Temario!A1"/><Relationship Id="rId7" Type="http://schemas.openxmlformats.org/officeDocument/2006/relationships/image" Target="../media/image12.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1.png"/><Relationship Id="rId5" Type="http://schemas.openxmlformats.org/officeDocument/2006/relationships/image" Target="../media/image8.svg"/><Relationship Id="rId4" Type="http://schemas.openxmlformats.org/officeDocument/2006/relationships/image" Target="../media/image7.png"/></Relationships>
</file>

<file path=xl/drawings/_rels/drawing22.xml.rels><?xml version="1.0" encoding="UTF-8" standalone="yes"?>
<Relationships xmlns="http://schemas.openxmlformats.org/package/2006/relationships"><Relationship Id="rId3" Type="http://schemas.openxmlformats.org/officeDocument/2006/relationships/hyperlink" Target="#Temario!A1"/><Relationship Id="rId7" Type="http://schemas.openxmlformats.org/officeDocument/2006/relationships/image" Target="../media/image12.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1.png"/><Relationship Id="rId5" Type="http://schemas.openxmlformats.org/officeDocument/2006/relationships/image" Target="../media/image8.svg"/><Relationship Id="rId4" Type="http://schemas.openxmlformats.org/officeDocument/2006/relationships/image" Target="../media/image7.png"/></Relationships>
</file>

<file path=xl/drawings/_rels/drawing23.xml.rels><?xml version="1.0" encoding="UTF-8" standalone="yes"?>
<Relationships xmlns="http://schemas.openxmlformats.org/package/2006/relationships"><Relationship Id="rId3" Type="http://schemas.openxmlformats.org/officeDocument/2006/relationships/hyperlink" Target="#Temario!A1"/><Relationship Id="rId7" Type="http://schemas.openxmlformats.org/officeDocument/2006/relationships/image" Target="../media/image12.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1.png"/><Relationship Id="rId5" Type="http://schemas.openxmlformats.org/officeDocument/2006/relationships/image" Target="../media/image8.svg"/><Relationship Id="rId4" Type="http://schemas.openxmlformats.org/officeDocument/2006/relationships/image" Target="../media/image7.png"/></Relationships>
</file>

<file path=xl/drawings/_rels/drawing2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6.svg"/><Relationship Id="rId4" Type="http://schemas.openxmlformats.org/officeDocument/2006/relationships/image" Target="../media/image5.png"/><Relationship Id="rId9" Type="http://schemas.openxmlformats.org/officeDocument/2006/relationships/image" Target="../media/image10.svg"/></Relationships>
</file>

<file path=xl/drawings/_rels/drawing25.xml.rels><?xml version="1.0" encoding="UTF-8" standalone="yes"?>
<Relationships xmlns="http://schemas.openxmlformats.org/package/2006/relationships"><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10.svg"/><Relationship Id="rId4" Type="http://schemas.openxmlformats.org/officeDocument/2006/relationships/image" Target="../media/image9.png"/></Relationships>
</file>

<file path=xl/drawings/_rels/drawing26.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Temario!A1"/><Relationship Id="rId5" Type="http://schemas.openxmlformats.org/officeDocument/2006/relationships/image" Target="../media/image14.svg"/><Relationship Id="rId4" Type="http://schemas.openxmlformats.org/officeDocument/2006/relationships/image" Target="../media/image13.png"/></Relationships>
</file>

<file path=xl/drawings/_rels/drawing27.xml.rels><?xml version="1.0" encoding="UTF-8" standalone="yes"?>
<Relationships xmlns="http://schemas.openxmlformats.org/package/2006/relationships"><Relationship Id="rId3" Type="http://schemas.openxmlformats.org/officeDocument/2006/relationships/hyperlink" Target="#Temario!A1"/><Relationship Id="rId7" Type="http://schemas.openxmlformats.org/officeDocument/2006/relationships/image" Target="../media/image12.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1.png"/><Relationship Id="rId5" Type="http://schemas.openxmlformats.org/officeDocument/2006/relationships/image" Target="../media/image8.svg"/><Relationship Id="rId4" Type="http://schemas.openxmlformats.org/officeDocument/2006/relationships/image" Target="../media/image7.png"/></Relationships>
</file>

<file path=xl/drawings/_rels/drawing28.xml.rels><?xml version="1.0" encoding="UTF-8" standalone="yes"?>
<Relationships xmlns="http://schemas.openxmlformats.org/package/2006/relationships"><Relationship Id="rId3" Type="http://schemas.openxmlformats.org/officeDocument/2006/relationships/image" Target="../media/image8.svg"/><Relationship Id="rId7" Type="http://schemas.openxmlformats.org/officeDocument/2006/relationships/image" Target="../media/image12.svg"/><Relationship Id="rId2" Type="http://schemas.openxmlformats.org/officeDocument/2006/relationships/image" Target="../media/image7.png"/><Relationship Id="rId1" Type="http://schemas.openxmlformats.org/officeDocument/2006/relationships/hyperlink" Target="#Temario!A1"/><Relationship Id="rId6" Type="http://schemas.openxmlformats.org/officeDocument/2006/relationships/image" Target="../media/image11.png"/><Relationship Id="rId5" Type="http://schemas.openxmlformats.org/officeDocument/2006/relationships/image" Target="../media/image14.svg"/><Relationship Id="rId4"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absolute">
    <xdr:from>
      <xdr:col>0</xdr:col>
      <xdr:colOff>130175</xdr:colOff>
      <xdr:row>0</xdr:row>
      <xdr:rowOff>111125</xdr:rowOff>
    </xdr:from>
    <xdr:to>
      <xdr:col>7</xdr:col>
      <xdr:colOff>778933</xdr:colOff>
      <xdr:row>2</xdr:row>
      <xdr:rowOff>189442</xdr:rowOff>
    </xdr:to>
    <xdr:sp macro="" textlink="">
      <xdr:nvSpPr>
        <xdr:cNvPr id="2" name="Rectángulo: esquinas redondeadas 1">
          <a:extLst>
            <a:ext uri="{FF2B5EF4-FFF2-40B4-BE49-F238E27FC236}">
              <a16:creationId xmlns:a16="http://schemas.microsoft.com/office/drawing/2014/main" id="{C32502F2-3F41-4E12-82E1-E463CABC7119}"/>
            </a:ext>
          </a:extLst>
        </xdr:cNvPr>
        <xdr:cNvSpPr/>
      </xdr:nvSpPr>
      <xdr:spPr>
        <a:xfrm>
          <a:off x="123825" y="104775"/>
          <a:ext cx="1218988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606424</xdr:colOff>
      <xdr:row>0</xdr:row>
      <xdr:rowOff>149225</xdr:rowOff>
    </xdr:from>
    <xdr:to>
      <xdr:col>5</xdr:col>
      <xdr:colOff>514349</xdr:colOff>
      <xdr:row>2</xdr:row>
      <xdr:rowOff>170392</xdr:rowOff>
    </xdr:to>
    <xdr:sp macro="" textlink="">
      <xdr:nvSpPr>
        <xdr:cNvPr id="3" name="CuadroTexto 2">
          <a:extLst>
            <a:ext uri="{FF2B5EF4-FFF2-40B4-BE49-F238E27FC236}">
              <a16:creationId xmlns:a16="http://schemas.microsoft.com/office/drawing/2014/main" id="{F51FBD52-4B2A-4B0D-88BF-105315E8B230}"/>
            </a:ext>
          </a:extLst>
        </xdr:cNvPr>
        <xdr:cNvSpPr txBox="1"/>
      </xdr:nvSpPr>
      <xdr:spPr>
        <a:xfrm>
          <a:off x="800099" y="142875"/>
          <a:ext cx="9267825"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TEMARIO</a:t>
          </a:r>
        </a:p>
      </xdr:txBody>
    </xdr:sp>
    <xdr:clientData/>
  </xdr:twoCellAnchor>
  <xdr:twoCellAnchor editAs="oneCell">
    <xdr:from>
      <xdr:col>1</xdr:col>
      <xdr:colOff>95250</xdr:colOff>
      <xdr:row>0</xdr:row>
      <xdr:rowOff>133350</xdr:rowOff>
    </xdr:from>
    <xdr:to>
      <xdr:col>1</xdr:col>
      <xdr:colOff>549275</xdr:colOff>
      <xdr:row>2</xdr:row>
      <xdr:rowOff>130175</xdr:rowOff>
    </xdr:to>
    <xdr:pic>
      <xdr:nvPicPr>
        <xdr:cNvPr id="6" name="Gráfico 5" descr="Clipboard Checked con relleno sólido">
          <a:extLst>
            <a:ext uri="{FF2B5EF4-FFF2-40B4-BE49-F238E27FC236}">
              <a16:creationId xmlns:a16="http://schemas.microsoft.com/office/drawing/2014/main" id="{B3752E3A-5371-6CA4-7E42-C8CA2D39F8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5275" y="133350"/>
          <a:ext cx="447675"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85725</xdr:rowOff>
    </xdr:from>
    <xdr:to>
      <xdr:col>9</xdr:col>
      <xdr:colOff>55033</xdr:colOff>
      <xdr:row>2</xdr:row>
      <xdr:rowOff>170392</xdr:rowOff>
    </xdr:to>
    <xdr:sp macro="" textlink="">
      <xdr:nvSpPr>
        <xdr:cNvPr id="5" name="Rectángulo: esquinas redondeadas 4">
          <a:extLst>
            <a:ext uri="{FF2B5EF4-FFF2-40B4-BE49-F238E27FC236}">
              <a16:creationId xmlns:a16="http://schemas.microsoft.com/office/drawing/2014/main" id="{3B05007D-BE93-46D4-9D3C-B44F7E40664F}"/>
            </a:ext>
          </a:extLst>
        </xdr:cNvPr>
        <xdr:cNvSpPr/>
      </xdr:nvSpPr>
      <xdr:spPr>
        <a:xfrm>
          <a:off x="76200" y="85725"/>
          <a:ext cx="1218988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638174</xdr:colOff>
      <xdr:row>0</xdr:row>
      <xdr:rowOff>123825</xdr:rowOff>
    </xdr:from>
    <xdr:to>
      <xdr:col>6</xdr:col>
      <xdr:colOff>1295399</xdr:colOff>
      <xdr:row>2</xdr:row>
      <xdr:rowOff>151342</xdr:rowOff>
    </xdr:to>
    <xdr:sp macro="" textlink="">
      <xdr:nvSpPr>
        <xdr:cNvPr id="6" name="CuadroTexto 5">
          <a:extLst>
            <a:ext uri="{FF2B5EF4-FFF2-40B4-BE49-F238E27FC236}">
              <a16:creationId xmlns:a16="http://schemas.microsoft.com/office/drawing/2014/main" id="{4E06B43A-8BD0-47B1-801D-01201EC6EF77}"/>
            </a:ext>
          </a:extLst>
        </xdr:cNvPr>
        <xdr:cNvSpPr txBox="1"/>
      </xdr:nvSpPr>
      <xdr:spPr>
        <a:xfrm>
          <a:off x="752474" y="123825"/>
          <a:ext cx="9267825"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LOS 100 CONSEJOS MÁS ÚTILES DE EXCEL</a:t>
          </a:r>
          <a:r>
            <a:rPr lang="en-US" sz="2400" b="0" baseline="0">
              <a:solidFill>
                <a:schemeClr val="bg1"/>
              </a:solidFill>
              <a:latin typeface="Montserrat" panose="00000500000000000000" pitchFamily="2" charset="0"/>
            </a:rPr>
            <a:t> </a:t>
          </a:r>
          <a:endParaRPr lang="en-US" sz="2400" b="0">
            <a:solidFill>
              <a:schemeClr val="bg1"/>
            </a:solidFill>
            <a:latin typeface="Montserrat" panose="00000500000000000000" pitchFamily="2" charset="0"/>
          </a:endParaRPr>
        </a:p>
      </xdr:txBody>
    </xdr:sp>
    <xdr:clientData/>
  </xdr:twoCellAnchor>
  <xdr:twoCellAnchor editAs="oneCell">
    <xdr:from>
      <xdr:col>1</xdr:col>
      <xdr:colOff>152399</xdr:colOff>
      <xdr:row>0</xdr:row>
      <xdr:rowOff>142875</xdr:rowOff>
    </xdr:from>
    <xdr:to>
      <xdr:col>1</xdr:col>
      <xdr:colOff>581024</xdr:colOff>
      <xdr:row>2</xdr:row>
      <xdr:rowOff>114300</xdr:rowOff>
    </xdr:to>
    <xdr:pic>
      <xdr:nvPicPr>
        <xdr:cNvPr id="9" name="Gráfico 8" descr="Hero Male con relleno sólido">
          <a:extLst>
            <a:ext uri="{FF2B5EF4-FFF2-40B4-BE49-F238E27FC236}">
              <a16:creationId xmlns:a16="http://schemas.microsoft.com/office/drawing/2014/main" id="{475FA220-C5F5-822E-AB9D-C41E6A619A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66699" y="142875"/>
          <a:ext cx="428625" cy="428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3734</xdr:colOff>
      <xdr:row>8</xdr:row>
      <xdr:rowOff>211789</xdr:rowOff>
    </xdr:from>
    <xdr:to>
      <xdr:col>13</xdr:col>
      <xdr:colOff>61685</xdr:colOff>
      <xdr:row>10</xdr:row>
      <xdr:rowOff>38472</xdr:rowOff>
    </xdr:to>
    <xdr:sp macro="" textlink="">
      <xdr:nvSpPr>
        <xdr:cNvPr id="2" name="Rectángulo: esquinas redondeadas 1">
          <a:extLst>
            <a:ext uri="{FF2B5EF4-FFF2-40B4-BE49-F238E27FC236}">
              <a16:creationId xmlns:a16="http://schemas.microsoft.com/office/drawing/2014/main" id="{36DC6A9F-DC59-4BE7-9045-10D9BC79829F}"/>
            </a:ext>
          </a:extLst>
        </xdr:cNvPr>
        <xdr:cNvSpPr/>
      </xdr:nvSpPr>
      <xdr:spPr>
        <a:xfrm>
          <a:off x="126999" y="2004730"/>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Edición y Formato</a:t>
          </a:r>
        </a:p>
      </xdr:txBody>
    </xdr:sp>
    <xdr:clientData/>
  </xdr:twoCellAnchor>
  <xdr:twoCellAnchor>
    <xdr:from>
      <xdr:col>1</xdr:col>
      <xdr:colOff>9524</xdr:colOff>
      <xdr:row>0</xdr:row>
      <xdr:rowOff>104775</xdr:rowOff>
    </xdr:from>
    <xdr:to>
      <xdr:col>13</xdr:col>
      <xdr:colOff>264584</xdr:colOff>
      <xdr:row>2</xdr:row>
      <xdr:rowOff>180975</xdr:rowOff>
    </xdr:to>
    <xdr:grpSp>
      <xdr:nvGrpSpPr>
        <xdr:cNvPr id="26" name="Grupo 25">
          <a:extLst>
            <a:ext uri="{FF2B5EF4-FFF2-40B4-BE49-F238E27FC236}">
              <a16:creationId xmlns:a16="http://schemas.microsoft.com/office/drawing/2014/main" id="{1006E1B6-DA73-4A38-BB75-4DC79D26F5B7}"/>
            </a:ext>
          </a:extLst>
        </xdr:cNvPr>
        <xdr:cNvGrpSpPr/>
      </xdr:nvGrpSpPr>
      <xdr:grpSpPr>
        <a:xfrm>
          <a:off x="121583" y="104775"/>
          <a:ext cx="12222942" cy="434788"/>
          <a:chOff x="136524" y="104775"/>
          <a:chExt cx="13664143" cy="541867"/>
        </a:xfrm>
      </xdr:grpSpPr>
      <xdr:sp macro="" textlink="">
        <xdr:nvSpPr>
          <xdr:cNvPr id="27" name="Rectángulo: esquinas redondeadas 26">
            <a:extLst>
              <a:ext uri="{FF2B5EF4-FFF2-40B4-BE49-F238E27FC236}">
                <a16:creationId xmlns:a16="http://schemas.microsoft.com/office/drawing/2014/main" id="{98292FD6-62AE-DDFF-1699-365F5CAD15BA}"/>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8" name="CuadroTexto 27">
            <a:extLst>
              <a:ext uri="{FF2B5EF4-FFF2-40B4-BE49-F238E27FC236}">
                <a16:creationId xmlns:a16="http://schemas.microsoft.com/office/drawing/2014/main" id="{C69D8123-CE6C-DFDD-6A3F-F93C68F7F5E5}"/>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ATAJOS</a:t>
            </a:r>
          </a:p>
        </xdr:txBody>
      </xdr:sp>
      <xdr:pic>
        <xdr:nvPicPr>
          <xdr:cNvPr id="29" name="Gráfico 28" descr="Search Inventory con relleno sólido">
            <a:extLst>
              <a:ext uri="{FF2B5EF4-FFF2-40B4-BE49-F238E27FC236}">
                <a16:creationId xmlns:a16="http://schemas.microsoft.com/office/drawing/2014/main" id="{362C93B5-3BB1-180F-F110-3D22708786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30" name="Gráfico 29" descr="Circle with left arrow con relleno sólido">
            <a:hlinkClick xmlns:r="http://schemas.openxmlformats.org/officeDocument/2006/relationships" r:id="rId3"/>
            <a:extLst>
              <a:ext uri="{FF2B5EF4-FFF2-40B4-BE49-F238E27FC236}">
                <a16:creationId xmlns:a16="http://schemas.microsoft.com/office/drawing/2014/main" id="{AEED132E-9FFF-3B09-5D83-1916CDEFE1E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21165</xdr:colOff>
      <xdr:row>19</xdr:row>
      <xdr:rowOff>211788</xdr:rowOff>
    </xdr:from>
    <xdr:to>
      <xdr:col>12</xdr:col>
      <xdr:colOff>746249</xdr:colOff>
      <xdr:row>23</xdr:row>
      <xdr:rowOff>15520</xdr:rowOff>
    </xdr:to>
    <xdr:grpSp>
      <xdr:nvGrpSpPr>
        <xdr:cNvPr id="41" name="Grupo 40">
          <a:extLst>
            <a:ext uri="{FF2B5EF4-FFF2-40B4-BE49-F238E27FC236}">
              <a16:creationId xmlns:a16="http://schemas.microsoft.com/office/drawing/2014/main" id="{C3FEA527-1D69-07A3-1DBE-2F27EA2320DA}"/>
            </a:ext>
          </a:extLst>
        </xdr:cNvPr>
        <xdr:cNvGrpSpPr/>
      </xdr:nvGrpSpPr>
      <xdr:grpSpPr>
        <a:xfrm>
          <a:off x="133224" y="3599326"/>
          <a:ext cx="11818907" cy="551165"/>
          <a:chOff x="158748" y="1234017"/>
          <a:chExt cx="13241868" cy="497417"/>
        </a:xfrm>
      </xdr:grpSpPr>
      <xdr:sp macro="" textlink="">
        <xdr:nvSpPr>
          <xdr:cNvPr id="3" name="Rectángulo: esquinas redondeadas 2">
            <a:extLst>
              <a:ext uri="{FF2B5EF4-FFF2-40B4-BE49-F238E27FC236}">
                <a16:creationId xmlns:a16="http://schemas.microsoft.com/office/drawing/2014/main" id="{E4C9819A-3FF3-4C32-8CF0-1A08F9BD2B83}"/>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900" b="1">
                <a:solidFill>
                  <a:schemeClr val="tx1"/>
                </a:solidFill>
                <a:latin typeface="Montserrat" panose="00000500000000000000" pitchFamily="2" charset="0"/>
                <a:ea typeface="+mn-ea"/>
                <a:cs typeface="+mn-cs"/>
              </a:rPr>
              <a:t>Desplazar</a:t>
            </a:r>
            <a:r>
              <a:rPr lang="en-US" sz="900" b="1" baseline="0">
                <a:solidFill>
                  <a:schemeClr val="tx1"/>
                </a:solidFill>
                <a:latin typeface="Montserrat" panose="00000500000000000000" pitchFamily="2" charset="0"/>
                <a:ea typeface="+mn-ea"/>
                <a:cs typeface="+mn-cs"/>
              </a:rPr>
              <a:t> a última celda con datos</a:t>
            </a:r>
            <a:r>
              <a:rPr lang="en-US" sz="900" b="1">
                <a:solidFill>
                  <a:schemeClr val="tx1"/>
                </a:solidFill>
                <a:latin typeface="Montserrat" panose="00000500000000000000" pitchFamily="2" charset="0"/>
                <a:ea typeface="+mn-ea"/>
                <a:cs typeface="+mn-cs"/>
              </a:rPr>
              <a:t>:</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C</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C</a:t>
            </a:r>
          </a:p>
        </xdr:txBody>
      </xdr:sp>
      <xdr:sp macro="" textlink="">
        <xdr:nvSpPr>
          <xdr:cNvPr id="31" name="Rectángulo: esquinas redondeadas 30">
            <a:extLst>
              <a:ext uri="{FF2B5EF4-FFF2-40B4-BE49-F238E27FC236}">
                <a16:creationId xmlns:a16="http://schemas.microsoft.com/office/drawing/2014/main" id="{6986472F-B61E-4E60-A8D7-F4B8838F7E1F}"/>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800" b="1">
                <a:solidFill>
                  <a:schemeClr val="tx1"/>
                </a:solidFill>
                <a:latin typeface="Montserrat" panose="00000500000000000000" pitchFamily="2" charset="0"/>
                <a:ea typeface="+mn-ea"/>
                <a:cs typeface="+mn-cs"/>
              </a:rPr>
              <a:t>Seleccionar hasta última celda con datos</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V</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V</a:t>
            </a:r>
          </a:p>
        </xdr:txBody>
      </xdr:sp>
      <xdr:sp macro="" textlink="">
        <xdr:nvSpPr>
          <xdr:cNvPr id="32" name="Rectángulo: esquinas redondeadas 31">
            <a:extLst>
              <a:ext uri="{FF2B5EF4-FFF2-40B4-BE49-F238E27FC236}">
                <a16:creationId xmlns:a16="http://schemas.microsoft.com/office/drawing/2014/main" id="{F16A5764-670A-4712-B4B6-049E81BC0156}"/>
              </a:ext>
            </a:extLst>
          </xdr:cNvPr>
          <xdr:cNvSpPr/>
        </xdr:nvSpPr>
        <xdr:spPr>
          <a:xfrm>
            <a:off x="549909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Selección</a:t>
            </a:r>
            <a:r>
              <a:rPr lang="en-US" sz="1000" b="1" baseline="0">
                <a:solidFill>
                  <a:schemeClr val="tx1"/>
                </a:solidFill>
                <a:latin typeface="Montserrat" panose="00000500000000000000" pitchFamily="2" charset="0"/>
                <a:ea typeface="+mn-ea"/>
                <a:cs typeface="+mn-cs"/>
              </a:rPr>
              <a:t> continua</a:t>
            </a:r>
            <a:endParaRPr lang="en-US" sz="1000" b="1">
              <a:solidFill>
                <a:schemeClr val="tx1"/>
              </a:solidFill>
              <a:latin typeface="Montserrat" panose="00000500000000000000" pitchFamily="2" charset="0"/>
              <a:ea typeface="+mn-ea"/>
              <a:cs typeface="+mn-cs"/>
            </a:endParaRP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Shift</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Shift</a:t>
            </a:r>
          </a:p>
        </xdr:txBody>
      </xdr:sp>
      <xdr:sp macro="" textlink="">
        <xdr:nvSpPr>
          <xdr:cNvPr id="33" name="Rectángulo: esquinas redondeadas 32">
            <a:extLst>
              <a:ext uri="{FF2B5EF4-FFF2-40B4-BE49-F238E27FC236}">
                <a16:creationId xmlns:a16="http://schemas.microsoft.com/office/drawing/2014/main" id="{2AF3705E-CEC9-4482-9466-47851D9A37F3}"/>
              </a:ext>
            </a:extLst>
          </xdr:cNvPr>
          <xdr:cNvSpPr/>
        </xdr:nvSpPr>
        <xdr:spPr>
          <a:xfrm>
            <a:off x="816927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Selección Discontinua</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a:t>
            </a:r>
          </a:p>
        </xdr:txBody>
      </xdr:sp>
      <xdr:sp macro="" textlink="">
        <xdr:nvSpPr>
          <xdr:cNvPr id="34" name="Rectángulo: esquinas redondeadas 33">
            <a:extLst>
              <a:ext uri="{FF2B5EF4-FFF2-40B4-BE49-F238E27FC236}">
                <a16:creationId xmlns:a16="http://schemas.microsoft.com/office/drawing/2014/main" id="{9A325F9B-8154-456D-9C40-0C52BB09701B}"/>
              </a:ext>
            </a:extLst>
          </xdr:cNvPr>
          <xdr:cNvSpPr/>
        </xdr:nvSpPr>
        <xdr:spPr>
          <a:xfrm>
            <a:off x="10839447"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Insertar una nueva fila/columna:</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Shift + "+"</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Shift + "+"</a:t>
            </a:r>
          </a:p>
        </xdr:txBody>
      </xdr:sp>
    </xdr:grpSp>
    <xdr:clientData/>
  </xdr:twoCellAnchor>
  <xdr:twoCellAnchor editAs="absolute">
    <xdr:from>
      <xdr:col>0</xdr:col>
      <xdr:colOff>116415</xdr:colOff>
      <xdr:row>14</xdr:row>
      <xdr:rowOff>92198</xdr:rowOff>
    </xdr:from>
    <xdr:to>
      <xdr:col>13</xdr:col>
      <xdr:colOff>54276</xdr:colOff>
      <xdr:row>15</xdr:row>
      <xdr:rowOff>133472</xdr:rowOff>
    </xdr:to>
    <xdr:sp macro="" textlink="">
      <xdr:nvSpPr>
        <xdr:cNvPr id="42" name="Rectángulo: esquinas redondeadas 41">
          <a:extLst>
            <a:ext uri="{FF2B5EF4-FFF2-40B4-BE49-F238E27FC236}">
              <a16:creationId xmlns:a16="http://schemas.microsoft.com/office/drawing/2014/main" id="{D90A08FE-3FA7-4901-B0AB-5A6FB7F6FE8C}"/>
            </a:ext>
          </a:extLst>
        </xdr:cNvPr>
        <xdr:cNvSpPr/>
      </xdr:nvSpPr>
      <xdr:spPr>
        <a:xfrm>
          <a:off x="116415" y="3220320"/>
          <a:ext cx="13521070" cy="27491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Navegación y Selección</a:t>
          </a:r>
        </a:p>
      </xdr:txBody>
    </xdr:sp>
    <xdr:clientData/>
  </xdr:twoCellAnchor>
  <xdr:twoCellAnchor editAs="oneCell">
    <xdr:from>
      <xdr:col>1</xdr:col>
      <xdr:colOff>21164</xdr:colOff>
      <xdr:row>16</xdr:row>
      <xdr:rowOff>27888</xdr:rowOff>
    </xdr:from>
    <xdr:to>
      <xdr:col>9</xdr:col>
      <xdr:colOff>402167</xdr:colOff>
      <xdr:row>19</xdr:row>
      <xdr:rowOff>52563</xdr:rowOff>
    </xdr:to>
    <xdr:grpSp>
      <xdr:nvGrpSpPr>
        <xdr:cNvPr id="43" name="Grupo 42">
          <a:extLst>
            <a:ext uri="{FF2B5EF4-FFF2-40B4-BE49-F238E27FC236}">
              <a16:creationId xmlns:a16="http://schemas.microsoft.com/office/drawing/2014/main" id="{29B82CE5-798C-470C-9DEE-99B12E39A240}"/>
            </a:ext>
          </a:extLst>
        </xdr:cNvPr>
        <xdr:cNvGrpSpPr/>
      </xdr:nvGrpSpPr>
      <xdr:grpSpPr>
        <a:xfrm>
          <a:off x="133223" y="2896594"/>
          <a:ext cx="9166415" cy="562557"/>
          <a:chOff x="158748" y="1234017"/>
          <a:chExt cx="10318753" cy="497417"/>
        </a:xfrm>
      </xdr:grpSpPr>
      <xdr:sp macro="" textlink="">
        <xdr:nvSpPr>
          <xdr:cNvPr id="44" name="Rectángulo: esquinas redondeadas 43">
            <a:extLst>
              <a:ext uri="{FF2B5EF4-FFF2-40B4-BE49-F238E27FC236}">
                <a16:creationId xmlns:a16="http://schemas.microsoft.com/office/drawing/2014/main" id="{1DB1E0A8-1A05-592A-DF09-0011AC363070}"/>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Seleccionar toda la hoja/rango:</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E</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A</a:t>
            </a:r>
          </a:p>
        </xdr:txBody>
      </xdr:sp>
      <xdr:sp macro="" textlink="">
        <xdr:nvSpPr>
          <xdr:cNvPr id="45" name="Rectángulo: esquinas redondeadas 44">
            <a:extLst>
              <a:ext uri="{FF2B5EF4-FFF2-40B4-BE49-F238E27FC236}">
                <a16:creationId xmlns:a16="http://schemas.microsoft.com/office/drawing/2014/main" id="{83CFE536-6862-B1D2-89AB-FFB894688797}"/>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Ir a una celda específica:</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F5</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G</a:t>
            </a:r>
          </a:p>
        </xdr:txBody>
      </xdr:sp>
      <xdr:sp macro="" textlink="">
        <xdr:nvSpPr>
          <xdr:cNvPr id="46" name="Rectángulo: esquinas redondeadas 45">
            <a:extLst>
              <a:ext uri="{FF2B5EF4-FFF2-40B4-BE49-F238E27FC236}">
                <a16:creationId xmlns:a16="http://schemas.microsoft.com/office/drawing/2014/main" id="{DA257E69-9A38-45E8-A3A1-CE705DD8D4A6}"/>
              </a:ext>
            </a:extLst>
          </xdr:cNvPr>
          <xdr:cNvSpPr/>
        </xdr:nvSpPr>
        <xdr:spPr>
          <a:xfrm>
            <a:off x="5499098" y="1234017"/>
            <a:ext cx="4978403"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Moverse entre hojas de trabajo:</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Page Up / Ctrl + Page Down</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Option + ⌘ + Flecha Izquierda / Option + ⌘ + Flecha Derecha</a:t>
            </a:r>
          </a:p>
        </xdr:txBody>
      </xdr:sp>
    </xdr:grpSp>
    <xdr:clientData/>
  </xdr:twoCellAnchor>
  <xdr:twoCellAnchor editAs="oneCell">
    <xdr:from>
      <xdr:col>1</xdr:col>
      <xdr:colOff>25398</xdr:colOff>
      <xdr:row>10</xdr:row>
      <xdr:rowOff>152522</xdr:rowOff>
    </xdr:from>
    <xdr:to>
      <xdr:col>12</xdr:col>
      <xdr:colOff>747307</xdr:colOff>
      <xdr:row>13</xdr:row>
      <xdr:rowOff>174022</xdr:rowOff>
    </xdr:to>
    <xdr:grpSp>
      <xdr:nvGrpSpPr>
        <xdr:cNvPr id="49" name="Grupo 48">
          <a:extLst>
            <a:ext uri="{FF2B5EF4-FFF2-40B4-BE49-F238E27FC236}">
              <a16:creationId xmlns:a16="http://schemas.microsoft.com/office/drawing/2014/main" id="{109B85ED-3F14-4BA1-A1D5-24E712DF2A71}"/>
            </a:ext>
          </a:extLst>
        </xdr:cNvPr>
        <xdr:cNvGrpSpPr/>
      </xdr:nvGrpSpPr>
      <xdr:grpSpPr>
        <a:xfrm>
          <a:off x="137457" y="1945463"/>
          <a:ext cx="11815732" cy="559383"/>
          <a:chOff x="158748" y="1234017"/>
          <a:chExt cx="13241868" cy="497417"/>
        </a:xfrm>
      </xdr:grpSpPr>
      <xdr:sp macro="" textlink="">
        <xdr:nvSpPr>
          <xdr:cNvPr id="50" name="Rectángulo: esquinas redondeadas 49">
            <a:extLst>
              <a:ext uri="{FF2B5EF4-FFF2-40B4-BE49-F238E27FC236}">
                <a16:creationId xmlns:a16="http://schemas.microsoft.com/office/drawing/2014/main" id="{59C9D58D-A5C3-BAB6-F419-9D455D6C1CB4}"/>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Copiar:</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C</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C</a:t>
            </a:r>
          </a:p>
        </xdr:txBody>
      </xdr:sp>
      <xdr:sp macro="" textlink="">
        <xdr:nvSpPr>
          <xdr:cNvPr id="51" name="Rectángulo: esquinas redondeadas 50">
            <a:extLst>
              <a:ext uri="{FF2B5EF4-FFF2-40B4-BE49-F238E27FC236}">
                <a16:creationId xmlns:a16="http://schemas.microsoft.com/office/drawing/2014/main" id="{FA592504-3215-8B47-203F-CA762D02FA5C}"/>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Pegar:</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V</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V</a:t>
            </a:r>
          </a:p>
        </xdr:txBody>
      </xdr:sp>
      <xdr:sp macro="" textlink="">
        <xdr:nvSpPr>
          <xdr:cNvPr id="52" name="Rectángulo: esquinas redondeadas 51">
            <a:extLst>
              <a:ext uri="{FF2B5EF4-FFF2-40B4-BE49-F238E27FC236}">
                <a16:creationId xmlns:a16="http://schemas.microsoft.com/office/drawing/2014/main" id="{A7148413-CB7E-5BCC-437B-63D5A338D979}"/>
              </a:ext>
            </a:extLst>
          </xdr:cNvPr>
          <xdr:cNvSpPr/>
        </xdr:nvSpPr>
        <xdr:spPr>
          <a:xfrm>
            <a:off x="549909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Deshacer:</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Z</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Z</a:t>
            </a:r>
          </a:p>
        </xdr:txBody>
      </xdr:sp>
      <xdr:sp macro="" textlink="">
        <xdr:nvSpPr>
          <xdr:cNvPr id="53" name="Rectángulo: esquinas redondeadas 52">
            <a:extLst>
              <a:ext uri="{FF2B5EF4-FFF2-40B4-BE49-F238E27FC236}">
                <a16:creationId xmlns:a16="http://schemas.microsoft.com/office/drawing/2014/main" id="{589F5763-144E-FBB6-9F04-28A7F04525DB}"/>
              </a:ext>
            </a:extLst>
          </xdr:cNvPr>
          <xdr:cNvSpPr/>
        </xdr:nvSpPr>
        <xdr:spPr>
          <a:xfrm>
            <a:off x="816927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Buscar:</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F</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F</a:t>
            </a:r>
          </a:p>
        </xdr:txBody>
      </xdr:sp>
      <xdr:sp macro="" textlink="">
        <xdr:nvSpPr>
          <xdr:cNvPr id="54" name="Rectángulo: esquinas redondeadas 53">
            <a:extLst>
              <a:ext uri="{FF2B5EF4-FFF2-40B4-BE49-F238E27FC236}">
                <a16:creationId xmlns:a16="http://schemas.microsoft.com/office/drawing/2014/main" id="{0529B0B7-60C2-458A-4518-44F97B99CDE0}"/>
              </a:ext>
            </a:extLst>
          </xdr:cNvPr>
          <xdr:cNvSpPr/>
        </xdr:nvSpPr>
        <xdr:spPr>
          <a:xfrm>
            <a:off x="10839447"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Insertar una nueva fila/columna:</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Shift + "+"</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Shift + "+"</a:t>
            </a:r>
          </a:p>
        </xdr:txBody>
      </xdr:sp>
    </xdr:grpSp>
    <xdr:clientData/>
  </xdr:twoCellAnchor>
  <xdr:twoCellAnchor editAs="absolute">
    <xdr:from>
      <xdr:col>1</xdr:col>
      <xdr:colOff>3734</xdr:colOff>
      <xdr:row>23</xdr:row>
      <xdr:rowOff>167339</xdr:rowOff>
    </xdr:from>
    <xdr:to>
      <xdr:col>13</xdr:col>
      <xdr:colOff>61685</xdr:colOff>
      <xdr:row>24</xdr:row>
      <xdr:rowOff>224488</xdr:rowOff>
    </xdr:to>
    <xdr:sp macro="" textlink="">
      <xdr:nvSpPr>
        <xdr:cNvPr id="55" name="Rectángulo: esquinas redondeadas 54">
          <a:extLst>
            <a:ext uri="{FF2B5EF4-FFF2-40B4-BE49-F238E27FC236}">
              <a16:creationId xmlns:a16="http://schemas.microsoft.com/office/drawing/2014/main" id="{6DCFE072-4FA5-4BC2-B63B-0EFD7CB93CF5}"/>
            </a:ext>
          </a:extLst>
        </xdr:cNvPr>
        <xdr:cNvSpPr/>
      </xdr:nvSpPr>
      <xdr:spPr>
        <a:xfrm>
          <a:off x="126999" y="5322045"/>
          <a:ext cx="13521070" cy="27491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Fórmulas y Funciones</a:t>
          </a:r>
        </a:p>
      </xdr:txBody>
    </xdr:sp>
    <xdr:clientData/>
  </xdr:twoCellAnchor>
  <xdr:twoCellAnchor editAs="oneCell">
    <xdr:from>
      <xdr:col>1</xdr:col>
      <xdr:colOff>25398</xdr:colOff>
      <xdr:row>25</xdr:row>
      <xdr:rowOff>108072</xdr:rowOff>
    </xdr:from>
    <xdr:to>
      <xdr:col>10</xdr:col>
      <xdr:colOff>20607</xdr:colOff>
      <xdr:row>28</xdr:row>
      <xdr:rowOff>129572</xdr:rowOff>
    </xdr:to>
    <xdr:grpSp>
      <xdr:nvGrpSpPr>
        <xdr:cNvPr id="56" name="Grupo 55">
          <a:extLst>
            <a:ext uri="{FF2B5EF4-FFF2-40B4-BE49-F238E27FC236}">
              <a16:creationId xmlns:a16="http://schemas.microsoft.com/office/drawing/2014/main" id="{8B2BB8FE-2AE3-43E3-93BA-95DDDF74F2D4}"/>
            </a:ext>
          </a:extLst>
        </xdr:cNvPr>
        <xdr:cNvGrpSpPr/>
      </xdr:nvGrpSpPr>
      <xdr:grpSpPr>
        <a:xfrm>
          <a:off x="137457" y="4601631"/>
          <a:ext cx="9352121" cy="559382"/>
          <a:chOff x="158748" y="1234017"/>
          <a:chExt cx="10571694" cy="497417"/>
        </a:xfrm>
      </xdr:grpSpPr>
      <xdr:sp macro="" textlink="">
        <xdr:nvSpPr>
          <xdr:cNvPr id="57" name="Rectángulo: esquinas redondeadas 56">
            <a:extLst>
              <a:ext uri="{FF2B5EF4-FFF2-40B4-BE49-F238E27FC236}">
                <a16:creationId xmlns:a16="http://schemas.microsoft.com/office/drawing/2014/main" id="{762E3565-1754-0832-44ED-389522EEA390}"/>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Insertar función:</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Shift + F3</a:t>
            </a:r>
          </a:p>
          <a:p>
            <a:pPr marL="0" indent="0" algn="l"/>
            <a:r>
              <a:rPr lang="en-US" sz="1000" b="1">
                <a:solidFill>
                  <a:schemeClr val="tx1"/>
                </a:solidFill>
                <a:latin typeface="Montserrat" panose="00000500000000000000" pitchFamily="2" charset="0"/>
                <a:ea typeface="+mn-ea"/>
                <a:cs typeface="+mn-cs"/>
              </a:rPr>
              <a:t>Mac: </a:t>
            </a:r>
            <a:r>
              <a:rPr lang="en-US" sz="1000" b="0">
                <a:solidFill>
                  <a:schemeClr val="tx1"/>
                </a:solidFill>
                <a:latin typeface="Montserrat" panose="00000500000000000000" pitchFamily="2" charset="0"/>
                <a:ea typeface="+mn-ea"/>
                <a:cs typeface="+mn-cs"/>
              </a:rPr>
              <a:t>Fn + Shift + F3</a:t>
            </a:r>
          </a:p>
        </xdr:txBody>
      </xdr:sp>
      <xdr:sp macro="" textlink="">
        <xdr:nvSpPr>
          <xdr:cNvPr id="58" name="Rectángulo: esquinas redondeadas 57">
            <a:extLst>
              <a:ext uri="{FF2B5EF4-FFF2-40B4-BE49-F238E27FC236}">
                <a16:creationId xmlns:a16="http://schemas.microsoft.com/office/drawing/2014/main" id="{5E07E1C4-6E80-5CE9-D51D-879811F6BA69}"/>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Editar la celda activa:</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F2</a:t>
            </a:r>
          </a:p>
          <a:p>
            <a:pPr marL="0" indent="0" algn="l"/>
            <a:r>
              <a:rPr lang="en-US" sz="1000" b="1">
                <a:solidFill>
                  <a:schemeClr val="tx1"/>
                </a:solidFill>
                <a:latin typeface="Montserrat" panose="00000500000000000000" pitchFamily="2" charset="0"/>
                <a:ea typeface="+mn-ea"/>
                <a:cs typeface="+mn-cs"/>
              </a:rPr>
              <a:t>Mac: </a:t>
            </a:r>
            <a:r>
              <a:rPr lang="en-US" sz="1000" b="0">
                <a:solidFill>
                  <a:schemeClr val="tx1"/>
                </a:solidFill>
                <a:latin typeface="Montserrat" panose="00000500000000000000" pitchFamily="2" charset="0"/>
                <a:ea typeface="+mn-ea"/>
                <a:cs typeface="+mn-cs"/>
              </a:rPr>
              <a:t>Control + U</a:t>
            </a:r>
          </a:p>
        </xdr:txBody>
      </xdr:sp>
      <xdr:sp macro="" textlink="">
        <xdr:nvSpPr>
          <xdr:cNvPr id="59" name="Rectángulo: esquinas redondeadas 58">
            <a:extLst>
              <a:ext uri="{FF2B5EF4-FFF2-40B4-BE49-F238E27FC236}">
                <a16:creationId xmlns:a16="http://schemas.microsoft.com/office/drawing/2014/main" id="{808F6EC6-E01F-B5B8-97F8-524799DB19FB}"/>
              </a:ext>
            </a:extLst>
          </xdr:cNvPr>
          <xdr:cNvSpPr/>
        </xdr:nvSpPr>
        <xdr:spPr>
          <a:xfrm>
            <a:off x="549909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Rellenar fórmula hacia abajo:</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Ctrl + D</a:t>
            </a:r>
          </a:p>
          <a:p>
            <a:pPr marL="0" indent="0" algn="l"/>
            <a:r>
              <a:rPr lang="en-US" sz="1000" b="1">
                <a:solidFill>
                  <a:schemeClr val="tx1"/>
                </a:solidFill>
                <a:latin typeface="Montserrat" panose="00000500000000000000" pitchFamily="2" charset="0"/>
                <a:ea typeface="+mn-ea"/>
                <a:cs typeface="+mn-cs"/>
              </a:rPr>
              <a:t>Mac: </a:t>
            </a:r>
            <a:r>
              <a:rPr lang="en-US" sz="1000" b="0">
                <a:solidFill>
                  <a:schemeClr val="tx1"/>
                </a:solidFill>
                <a:latin typeface="Montserrat" panose="00000500000000000000" pitchFamily="2" charset="0"/>
                <a:ea typeface="+mn-ea"/>
                <a:cs typeface="+mn-cs"/>
              </a:rPr>
              <a:t>⌘ + D</a:t>
            </a:r>
          </a:p>
        </xdr:txBody>
      </xdr:sp>
      <xdr:sp macro="" textlink="">
        <xdr:nvSpPr>
          <xdr:cNvPr id="60" name="Rectángulo: esquinas redondeadas 59">
            <a:extLst>
              <a:ext uri="{FF2B5EF4-FFF2-40B4-BE49-F238E27FC236}">
                <a16:creationId xmlns:a16="http://schemas.microsoft.com/office/drawing/2014/main" id="{D046671D-6680-FE48-2DF7-218781E1EEED}"/>
              </a:ext>
            </a:extLst>
          </xdr:cNvPr>
          <xdr:cNvSpPr/>
        </xdr:nvSpPr>
        <xdr:spPr>
          <a:xfrm>
            <a:off x="816927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Rellenar fórmula hacia la derecha:</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Ctrl + R</a:t>
            </a:r>
          </a:p>
          <a:p>
            <a:pPr marL="0" indent="0" algn="l"/>
            <a:r>
              <a:rPr lang="en-US" sz="1000" b="1">
                <a:solidFill>
                  <a:schemeClr val="tx1"/>
                </a:solidFill>
                <a:latin typeface="Montserrat" panose="00000500000000000000" pitchFamily="2" charset="0"/>
                <a:ea typeface="+mn-ea"/>
                <a:cs typeface="+mn-cs"/>
              </a:rPr>
              <a:t>Mac: </a:t>
            </a:r>
            <a:r>
              <a:rPr lang="en-US" sz="1000" b="0">
                <a:solidFill>
                  <a:schemeClr val="tx1"/>
                </a:solidFill>
                <a:latin typeface="Montserrat" panose="00000500000000000000" pitchFamily="2" charset="0"/>
                <a:ea typeface="+mn-ea"/>
                <a:cs typeface="+mn-cs"/>
              </a:rPr>
              <a:t>⌘ + R</a:t>
            </a:r>
          </a:p>
        </xdr:txBody>
      </xdr:sp>
    </xdr:grpSp>
    <xdr:clientData/>
  </xdr:twoCellAnchor>
  <xdr:twoCellAnchor editAs="absolute">
    <xdr:from>
      <xdr:col>1</xdr:col>
      <xdr:colOff>4232</xdr:colOff>
      <xdr:row>29</xdr:row>
      <xdr:rowOff>53288</xdr:rowOff>
    </xdr:from>
    <xdr:to>
      <xdr:col>13</xdr:col>
      <xdr:colOff>72268</xdr:colOff>
      <xdr:row>30</xdr:row>
      <xdr:rowOff>95373</xdr:rowOff>
    </xdr:to>
    <xdr:sp macro="" textlink="">
      <xdr:nvSpPr>
        <xdr:cNvPr id="62" name="Rectángulo: esquinas redondeadas 61">
          <a:extLst>
            <a:ext uri="{FF2B5EF4-FFF2-40B4-BE49-F238E27FC236}">
              <a16:creationId xmlns:a16="http://schemas.microsoft.com/office/drawing/2014/main" id="{243DFC10-F8CA-4176-858C-83C07ADAD2C6}"/>
            </a:ext>
          </a:extLst>
        </xdr:cNvPr>
        <xdr:cNvSpPr/>
      </xdr:nvSpPr>
      <xdr:spPr>
        <a:xfrm>
          <a:off x="127497" y="6552700"/>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Formatos</a:t>
          </a:r>
          <a:r>
            <a:rPr lang="en-US" sz="1200" b="1" baseline="0">
              <a:latin typeface="Montserrat" panose="00000500000000000000" pitchFamily="2" charset="0"/>
            </a:rPr>
            <a:t> numéricos </a:t>
          </a:r>
          <a:endParaRPr lang="en-US" sz="1200" b="1">
            <a:latin typeface="Montserrat" panose="00000500000000000000" pitchFamily="2" charset="0"/>
          </a:endParaRPr>
        </a:p>
      </xdr:txBody>
    </xdr:sp>
    <xdr:clientData/>
  </xdr:twoCellAnchor>
  <xdr:twoCellAnchor editAs="oneCell">
    <xdr:from>
      <xdr:col>1</xdr:col>
      <xdr:colOff>32806</xdr:colOff>
      <xdr:row>30</xdr:row>
      <xdr:rowOff>221315</xdr:rowOff>
    </xdr:from>
    <xdr:to>
      <xdr:col>7</xdr:col>
      <xdr:colOff>379195</xdr:colOff>
      <xdr:row>34</xdr:row>
      <xdr:rowOff>15522</xdr:rowOff>
    </xdr:to>
    <xdr:grpSp>
      <xdr:nvGrpSpPr>
        <xdr:cNvPr id="63" name="Grupo 62">
          <a:extLst>
            <a:ext uri="{FF2B5EF4-FFF2-40B4-BE49-F238E27FC236}">
              <a16:creationId xmlns:a16="http://schemas.microsoft.com/office/drawing/2014/main" id="{B5DFC507-4200-4E9D-AD31-07940A2DD252}"/>
            </a:ext>
          </a:extLst>
        </xdr:cNvPr>
        <xdr:cNvGrpSpPr/>
      </xdr:nvGrpSpPr>
      <xdr:grpSpPr>
        <a:xfrm>
          <a:off x="144865" y="5573244"/>
          <a:ext cx="7025095" cy="549484"/>
          <a:chOff x="158748" y="1234017"/>
          <a:chExt cx="7901519" cy="497417"/>
        </a:xfrm>
      </xdr:grpSpPr>
      <xdr:sp macro="" textlink="">
        <xdr:nvSpPr>
          <xdr:cNvPr id="64" name="Rectángulo: esquinas redondeadas 63">
            <a:extLst>
              <a:ext uri="{FF2B5EF4-FFF2-40B4-BE49-F238E27FC236}">
                <a16:creationId xmlns:a16="http://schemas.microsoft.com/office/drawing/2014/main" id="{27A6E06A-0C42-5552-57C1-E70DFA916A2F}"/>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Formato de número:</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Ctrl+Shift+1</a:t>
            </a:r>
          </a:p>
        </xdr:txBody>
      </xdr:sp>
      <xdr:sp macro="" textlink="">
        <xdr:nvSpPr>
          <xdr:cNvPr id="65" name="Rectángulo: esquinas redondeadas 64">
            <a:extLst>
              <a:ext uri="{FF2B5EF4-FFF2-40B4-BE49-F238E27FC236}">
                <a16:creationId xmlns:a16="http://schemas.microsoft.com/office/drawing/2014/main" id="{9B89F047-6DC8-1005-5EE3-82EDA3BDA686}"/>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Formato de moneda:</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Ctrl+Shift+1</a:t>
            </a:r>
          </a:p>
          <a:p>
            <a:pPr marL="0" indent="0" algn="l"/>
            <a:endParaRPr lang="en-US" sz="1000" b="0">
              <a:solidFill>
                <a:schemeClr val="tx1"/>
              </a:solidFill>
              <a:latin typeface="Montserrat" panose="00000500000000000000" pitchFamily="2" charset="0"/>
              <a:ea typeface="+mn-ea"/>
              <a:cs typeface="+mn-cs"/>
            </a:endParaRPr>
          </a:p>
          <a:p>
            <a:pPr marL="0" indent="0" algn="l"/>
            <a:r>
              <a:rPr lang="en-US" sz="1000" b="1">
                <a:solidFill>
                  <a:schemeClr val="tx1"/>
                </a:solidFill>
                <a:latin typeface="Montserrat" panose="00000500000000000000" pitchFamily="2" charset="0"/>
                <a:ea typeface="+mn-ea"/>
                <a:cs typeface="+mn-cs"/>
              </a:rPr>
              <a:t>Mac: </a:t>
            </a:r>
            <a:r>
              <a:rPr lang="en-US" sz="1000" b="0">
                <a:solidFill>
                  <a:schemeClr val="tx1"/>
                </a:solidFill>
                <a:latin typeface="Montserrat" panose="00000500000000000000" pitchFamily="2" charset="0"/>
                <a:ea typeface="+mn-ea"/>
                <a:cs typeface="+mn-cs"/>
              </a:rPr>
              <a:t>Control + U</a:t>
            </a:r>
          </a:p>
        </xdr:txBody>
      </xdr:sp>
      <xdr:sp macro="" textlink="">
        <xdr:nvSpPr>
          <xdr:cNvPr id="66" name="Rectángulo: esquinas redondeadas 65">
            <a:extLst>
              <a:ext uri="{FF2B5EF4-FFF2-40B4-BE49-F238E27FC236}">
                <a16:creationId xmlns:a16="http://schemas.microsoft.com/office/drawing/2014/main" id="{7E2B9232-36EE-0112-94CC-0345638173C0}"/>
              </a:ext>
            </a:extLst>
          </xdr:cNvPr>
          <xdr:cNvSpPr/>
        </xdr:nvSpPr>
        <xdr:spPr>
          <a:xfrm>
            <a:off x="549909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Formato de porcentaje:</a:t>
            </a:r>
          </a:p>
          <a:p>
            <a:pPr marL="0" indent="0" algn="l"/>
            <a:r>
              <a:rPr lang="en-US" sz="1000" b="1">
                <a:solidFill>
                  <a:schemeClr val="tx1"/>
                </a:solidFill>
                <a:latin typeface="Montserrat" panose="00000500000000000000" pitchFamily="2" charset="0"/>
                <a:ea typeface="+mn-ea"/>
                <a:cs typeface="+mn-cs"/>
              </a:rPr>
              <a:t>Windows: </a:t>
            </a:r>
            <a:r>
              <a:rPr lang="en-US" sz="1000" b="0">
                <a:solidFill>
                  <a:schemeClr val="tx1"/>
                </a:solidFill>
                <a:latin typeface="Montserrat" panose="00000500000000000000" pitchFamily="2" charset="0"/>
                <a:ea typeface="+mn-ea"/>
                <a:cs typeface="+mn-cs"/>
              </a:rPr>
              <a:t>Ctrl+Shift+5</a:t>
            </a:r>
          </a:p>
        </xdr:txBody>
      </xdr:sp>
    </xdr:grpSp>
    <xdr:clientData/>
  </xdr:twoCellAnchor>
  <xdr:twoCellAnchor editAs="absolute">
    <xdr:from>
      <xdr:col>0</xdr:col>
      <xdr:colOff>111310</xdr:colOff>
      <xdr:row>3</xdr:row>
      <xdr:rowOff>95248</xdr:rowOff>
    </xdr:from>
    <xdr:to>
      <xdr:col>13</xdr:col>
      <xdr:colOff>42821</xdr:colOff>
      <xdr:row>4</xdr:row>
      <xdr:rowOff>149223</xdr:rowOff>
    </xdr:to>
    <xdr:sp macro="" textlink="">
      <xdr:nvSpPr>
        <xdr:cNvPr id="68" name="Rectángulo: esquinas redondeadas 67">
          <a:extLst>
            <a:ext uri="{FF2B5EF4-FFF2-40B4-BE49-F238E27FC236}">
              <a16:creationId xmlns:a16="http://schemas.microsoft.com/office/drawing/2014/main" id="{EFDAB982-EF19-4F6A-BBA3-E58CE6C5E83B}"/>
            </a:ext>
          </a:extLst>
        </xdr:cNvPr>
        <xdr:cNvSpPr/>
      </xdr:nvSpPr>
      <xdr:spPr>
        <a:xfrm>
          <a:off x="111310" y="767601"/>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Fuente</a:t>
          </a:r>
        </a:p>
      </xdr:txBody>
    </xdr:sp>
    <xdr:clientData/>
  </xdr:twoCellAnchor>
  <xdr:twoCellAnchor editAs="oneCell">
    <xdr:from>
      <xdr:col>1</xdr:col>
      <xdr:colOff>9709</xdr:colOff>
      <xdr:row>5</xdr:row>
      <xdr:rowOff>35981</xdr:rowOff>
    </xdr:from>
    <xdr:to>
      <xdr:col>7</xdr:col>
      <xdr:colOff>358418</xdr:colOff>
      <xdr:row>8</xdr:row>
      <xdr:rowOff>57481</xdr:rowOff>
    </xdr:to>
    <xdr:grpSp>
      <xdr:nvGrpSpPr>
        <xdr:cNvPr id="69" name="Grupo 68">
          <a:extLst>
            <a:ext uri="{FF2B5EF4-FFF2-40B4-BE49-F238E27FC236}">
              <a16:creationId xmlns:a16="http://schemas.microsoft.com/office/drawing/2014/main" id="{7D940DF5-CC6C-450E-B478-224EAFC49581}"/>
            </a:ext>
          </a:extLst>
        </xdr:cNvPr>
        <xdr:cNvGrpSpPr/>
      </xdr:nvGrpSpPr>
      <xdr:grpSpPr>
        <a:xfrm>
          <a:off x="121768" y="932452"/>
          <a:ext cx="7027415" cy="559382"/>
          <a:chOff x="158748" y="1234017"/>
          <a:chExt cx="7901519" cy="497417"/>
        </a:xfrm>
      </xdr:grpSpPr>
      <xdr:sp macro="" textlink="">
        <xdr:nvSpPr>
          <xdr:cNvPr id="70" name="Rectángulo: esquinas redondeadas 69">
            <a:extLst>
              <a:ext uri="{FF2B5EF4-FFF2-40B4-BE49-F238E27FC236}">
                <a16:creationId xmlns:a16="http://schemas.microsoft.com/office/drawing/2014/main" id="{8B80E35D-E609-7862-3BB7-9CAE082811E4}"/>
              </a:ext>
            </a:extLst>
          </xdr:cNvPr>
          <xdr:cNvSpPr/>
        </xdr:nvSpPr>
        <xdr:spPr>
          <a:xfrm>
            <a:off x="15874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Negritas:</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N</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N</a:t>
            </a:r>
          </a:p>
        </xdr:txBody>
      </xdr:sp>
      <xdr:sp macro="" textlink="">
        <xdr:nvSpPr>
          <xdr:cNvPr id="71" name="Rectángulo: esquinas redondeadas 70">
            <a:extLst>
              <a:ext uri="{FF2B5EF4-FFF2-40B4-BE49-F238E27FC236}">
                <a16:creationId xmlns:a16="http://schemas.microsoft.com/office/drawing/2014/main" id="{CF3BE8DD-C733-61E9-FB89-C33C91D72765}"/>
              </a:ext>
            </a:extLst>
          </xdr:cNvPr>
          <xdr:cNvSpPr/>
        </xdr:nvSpPr>
        <xdr:spPr>
          <a:xfrm>
            <a:off x="2828923"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Itálica:</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K</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K</a:t>
            </a:r>
          </a:p>
        </xdr:txBody>
      </xdr:sp>
      <xdr:sp macro="" textlink="">
        <xdr:nvSpPr>
          <xdr:cNvPr id="72" name="Rectángulo: esquinas redondeadas 71">
            <a:extLst>
              <a:ext uri="{FF2B5EF4-FFF2-40B4-BE49-F238E27FC236}">
                <a16:creationId xmlns:a16="http://schemas.microsoft.com/office/drawing/2014/main" id="{42EDCE71-5E98-7A23-9B71-06AADD23FF1D}"/>
              </a:ext>
            </a:extLst>
          </xdr:cNvPr>
          <xdr:cNvSpPr/>
        </xdr:nvSpPr>
        <xdr:spPr>
          <a:xfrm>
            <a:off x="5499098" y="1234017"/>
            <a:ext cx="2561169" cy="4974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Subrayado:</a:t>
            </a:r>
          </a:p>
          <a:p>
            <a:pPr marL="0" indent="0" algn="l"/>
            <a:r>
              <a:rPr lang="en-US" sz="900" b="1">
                <a:solidFill>
                  <a:schemeClr val="tx1"/>
                </a:solidFill>
                <a:latin typeface="Montserrat" panose="00000500000000000000" pitchFamily="2" charset="0"/>
                <a:ea typeface="+mn-ea"/>
                <a:cs typeface="+mn-cs"/>
              </a:rPr>
              <a:t>Windows: </a:t>
            </a:r>
            <a:r>
              <a:rPr lang="en-US" sz="900" b="0">
                <a:solidFill>
                  <a:schemeClr val="tx1"/>
                </a:solidFill>
                <a:latin typeface="Montserrat" panose="00000500000000000000" pitchFamily="2" charset="0"/>
                <a:ea typeface="+mn-ea"/>
                <a:cs typeface="+mn-cs"/>
              </a:rPr>
              <a:t>Ctrl + S</a:t>
            </a:r>
          </a:p>
          <a:p>
            <a:pPr marL="0" indent="0" algn="l"/>
            <a:r>
              <a:rPr lang="en-US" sz="900" b="1">
                <a:solidFill>
                  <a:schemeClr val="tx1"/>
                </a:solidFill>
                <a:latin typeface="Montserrat" panose="00000500000000000000" pitchFamily="2" charset="0"/>
                <a:ea typeface="+mn-ea"/>
                <a:cs typeface="+mn-cs"/>
              </a:rPr>
              <a:t>Mac: </a:t>
            </a:r>
            <a:r>
              <a:rPr lang="en-US" sz="900" b="0">
                <a:solidFill>
                  <a:schemeClr val="tx1"/>
                </a:solidFill>
                <a:latin typeface="Montserrat" panose="00000500000000000000" pitchFamily="2" charset="0"/>
                <a:ea typeface="+mn-ea"/>
                <a:cs typeface="+mn-cs"/>
              </a:rPr>
              <a:t>⌘ + S</a:t>
            </a:r>
          </a:p>
        </xdr:txBody>
      </xdr:sp>
    </xdr:grpSp>
    <xdr:clientData/>
  </xdr:twoCellAnchor>
  <xdr:twoCellAnchor editAs="absolute">
    <xdr:from>
      <xdr:col>1</xdr:col>
      <xdr:colOff>17305</xdr:colOff>
      <xdr:row>34</xdr:row>
      <xdr:rowOff>226419</xdr:rowOff>
    </xdr:from>
    <xdr:to>
      <xdr:col>13</xdr:col>
      <xdr:colOff>72641</xdr:colOff>
      <xdr:row>36</xdr:row>
      <xdr:rowOff>34861</xdr:rowOff>
    </xdr:to>
    <xdr:sp macro="" textlink="">
      <xdr:nvSpPr>
        <xdr:cNvPr id="75" name="Rectángulo: esquinas redondeadas 74">
          <a:extLst>
            <a:ext uri="{FF2B5EF4-FFF2-40B4-BE49-F238E27FC236}">
              <a16:creationId xmlns:a16="http://schemas.microsoft.com/office/drawing/2014/main" id="{13E582E9-E5B6-4C64-BA5D-20AF8BB8C37A}"/>
            </a:ext>
          </a:extLst>
        </xdr:cNvPr>
        <xdr:cNvSpPr/>
      </xdr:nvSpPr>
      <xdr:spPr>
        <a:xfrm>
          <a:off x="134220" y="7836894"/>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Práctica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0</xdr:row>
      <xdr:rowOff>104775</xdr:rowOff>
    </xdr:from>
    <xdr:to>
      <xdr:col>13</xdr:col>
      <xdr:colOff>264584</xdr:colOff>
      <xdr:row>2</xdr:row>
      <xdr:rowOff>180975</xdr:rowOff>
    </xdr:to>
    <xdr:grpSp>
      <xdr:nvGrpSpPr>
        <xdr:cNvPr id="3" name="Grupo 2">
          <a:extLst>
            <a:ext uri="{FF2B5EF4-FFF2-40B4-BE49-F238E27FC236}">
              <a16:creationId xmlns:a16="http://schemas.microsoft.com/office/drawing/2014/main" id="{719B96EC-C7A8-4AD2-BBF4-7100A24A7F39}"/>
            </a:ext>
          </a:extLst>
        </xdr:cNvPr>
        <xdr:cNvGrpSpPr/>
      </xdr:nvGrpSpPr>
      <xdr:grpSpPr>
        <a:xfrm>
          <a:off x="121583" y="104775"/>
          <a:ext cx="11416119" cy="434788"/>
          <a:chOff x="136524" y="104775"/>
          <a:chExt cx="13664143" cy="541867"/>
        </a:xfrm>
      </xdr:grpSpPr>
      <xdr:sp macro="" textlink="">
        <xdr:nvSpPr>
          <xdr:cNvPr id="4" name="Rectángulo: esquinas redondeadas 3">
            <a:extLst>
              <a:ext uri="{FF2B5EF4-FFF2-40B4-BE49-F238E27FC236}">
                <a16:creationId xmlns:a16="http://schemas.microsoft.com/office/drawing/2014/main" id="{1105E98E-5743-9991-4BFF-E2B52E4EA5FD}"/>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5" name="CuadroTexto 4">
            <a:extLst>
              <a:ext uri="{FF2B5EF4-FFF2-40B4-BE49-F238E27FC236}">
                <a16:creationId xmlns:a16="http://schemas.microsoft.com/office/drawing/2014/main" id="{7686555B-8CA1-B3D3-EC97-D7198ECB565D}"/>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FÓRMULAS Y FUNCIONES</a:t>
            </a:r>
          </a:p>
        </xdr:txBody>
      </xdr:sp>
      <xdr:pic>
        <xdr:nvPicPr>
          <xdr:cNvPr id="6" name="Gráfico 5" descr="Search Inventory con relleno sólido">
            <a:extLst>
              <a:ext uri="{FF2B5EF4-FFF2-40B4-BE49-F238E27FC236}">
                <a16:creationId xmlns:a16="http://schemas.microsoft.com/office/drawing/2014/main" id="{90C571E6-B6DA-1EC8-041F-5D2D674324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7" name="Gráfico 6" descr="Circle with left arrow con relleno sólido">
            <a:hlinkClick xmlns:r="http://schemas.openxmlformats.org/officeDocument/2006/relationships" r:id="rId3"/>
            <a:extLst>
              <a:ext uri="{FF2B5EF4-FFF2-40B4-BE49-F238E27FC236}">
                <a16:creationId xmlns:a16="http://schemas.microsoft.com/office/drawing/2014/main" id="{C85774B8-EB8E-3D4C-4ED5-3CB81727A2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absolute">
    <xdr:from>
      <xdr:col>0</xdr:col>
      <xdr:colOff>111310</xdr:colOff>
      <xdr:row>3</xdr:row>
      <xdr:rowOff>95248</xdr:rowOff>
    </xdr:from>
    <xdr:to>
      <xdr:col>13</xdr:col>
      <xdr:colOff>968052</xdr:colOff>
      <xdr:row>4</xdr:row>
      <xdr:rowOff>149223</xdr:rowOff>
    </xdr:to>
    <xdr:sp macro="" textlink="">
      <xdr:nvSpPr>
        <xdr:cNvPr id="36" name="Rectángulo: esquinas redondeadas 35">
          <a:extLst>
            <a:ext uri="{FF2B5EF4-FFF2-40B4-BE49-F238E27FC236}">
              <a16:creationId xmlns:a16="http://schemas.microsoft.com/office/drawing/2014/main" id="{86CBF04E-5194-496F-B5DA-7692A07CF3D8}"/>
            </a:ext>
          </a:extLst>
        </xdr:cNvPr>
        <xdr:cNvSpPr/>
      </xdr:nvSpPr>
      <xdr:spPr>
        <a:xfrm>
          <a:off x="111310" y="781048"/>
          <a:ext cx="13556369" cy="2794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Fórmula</a:t>
          </a:r>
        </a:p>
      </xdr:txBody>
    </xdr:sp>
    <xdr:clientData/>
  </xdr:twoCellAnchor>
  <xdr:twoCellAnchor editAs="oneCell">
    <xdr:from>
      <xdr:col>0</xdr:col>
      <xdr:colOff>100854</xdr:colOff>
      <xdr:row>5</xdr:row>
      <xdr:rowOff>56029</xdr:rowOff>
    </xdr:from>
    <xdr:to>
      <xdr:col>14</xdr:col>
      <xdr:colOff>35176</xdr:colOff>
      <xdr:row>8</xdr:row>
      <xdr:rowOff>16256</xdr:rowOff>
    </xdr:to>
    <xdr:sp macro="" textlink="">
      <xdr:nvSpPr>
        <xdr:cNvPr id="42" name="Rectángulo: esquinas redondeadas 41">
          <a:extLst>
            <a:ext uri="{FF2B5EF4-FFF2-40B4-BE49-F238E27FC236}">
              <a16:creationId xmlns:a16="http://schemas.microsoft.com/office/drawing/2014/main" id="{444E171F-D365-46D9-B417-DA5F832BA144}"/>
            </a:ext>
          </a:extLst>
        </xdr:cNvPr>
        <xdr:cNvSpPr/>
      </xdr:nvSpPr>
      <xdr:spPr>
        <a:xfrm>
          <a:off x="100854" y="1176617"/>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Una fórmula en Excel es una expresión que realiza cálculos sobre los datos en tu hoja de cálculo. Las fórmulas pueden usar números, texto, valores lógicos como VERDADERO o FALSO, funciones integradas, y referencias a otras celdas para realizar operaciones matemáticas, lógicas, de texto, entre otras. Las fórmulas siempre comienzan con el signo igual (=), seguido por la expresión que define el cálculo a realizar. Por ejemplo, =A1+A2 suma los valores de las celdas A1 y A2</a:t>
          </a:r>
        </a:p>
      </xdr:txBody>
    </xdr:sp>
    <xdr:clientData/>
  </xdr:twoCellAnchor>
  <xdr:twoCellAnchor editAs="absolute">
    <xdr:from>
      <xdr:col>1</xdr:col>
      <xdr:colOff>1</xdr:colOff>
      <xdr:row>8</xdr:row>
      <xdr:rowOff>167900</xdr:rowOff>
    </xdr:from>
    <xdr:to>
      <xdr:col>13</xdr:col>
      <xdr:colOff>974218</xdr:colOff>
      <xdr:row>9</xdr:row>
      <xdr:rowOff>206809</xdr:rowOff>
    </xdr:to>
    <xdr:sp macro="" textlink="">
      <xdr:nvSpPr>
        <xdr:cNvPr id="45" name="Rectángulo: esquinas redondeadas 44">
          <a:extLst>
            <a:ext uri="{FF2B5EF4-FFF2-40B4-BE49-F238E27FC236}">
              <a16:creationId xmlns:a16="http://schemas.microsoft.com/office/drawing/2014/main" id="{810592A1-75BE-4F92-A235-BB598E75A70A}"/>
            </a:ext>
          </a:extLst>
        </xdr:cNvPr>
        <xdr:cNvSpPr/>
      </xdr:nvSpPr>
      <xdr:spPr>
        <a:xfrm>
          <a:off x="123266" y="1957666"/>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absolute">
    <xdr:from>
      <xdr:col>1</xdr:col>
      <xdr:colOff>21663</xdr:colOff>
      <xdr:row>26</xdr:row>
      <xdr:rowOff>73396</xdr:rowOff>
    </xdr:from>
    <xdr:to>
      <xdr:col>14</xdr:col>
      <xdr:colOff>15552</xdr:colOff>
      <xdr:row>27</xdr:row>
      <xdr:rowOff>114672</xdr:rowOff>
    </xdr:to>
    <xdr:sp macro="" textlink="">
      <xdr:nvSpPr>
        <xdr:cNvPr id="46" name="Rectángulo: esquinas redondeadas 45">
          <a:extLst>
            <a:ext uri="{FF2B5EF4-FFF2-40B4-BE49-F238E27FC236}">
              <a16:creationId xmlns:a16="http://schemas.microsoft.com/office/drawing/2014/main" id="{A33C0FA1-A917-4F33-B6CD-A992C6B4B838}"/>
            </a:ext>
          </a:extLst>
        </xdr:cNvPr>
        <xdr:cNvSpPr/>
      </xdr:nvSpPr>
      <xdr:spPr>
        <a:xfrm>
          <a:off x="144928" y="5890930"/>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Función</a:t>
          </a:r>
        </a:p>
      </xdr:txBody>
    </xdr:sp>
    <xdr:clientData/>
  </xdr:twoCellAnchor>
  <xdr:twoCellAnchor editAs="oneCell">
    <xdr:from>
      <xdr:col>1</xdr:col>
      <xdr:colOff>22413</xdr:colOff>
      <xdr:row>28</xdr:row>
      <xdr:rowOff>24652</xdr:rowOff>
    </xdr:from>
    <xdr:to>
      <xdr:col>14</xdr:col>
      <xdr:colOff>73650</xdr:colOff>
      <xdr:row>30</xdr:row>
      <xdr:rowOff>205822</xdr:rowOff>
    </xdr:to>
    <xdr:sp macro="" textlink="">
      <xdr:nvSpPr>
        <xdr:cNvPr id="47" name="Rectángulo: esquinas redondeadas 46">
          <a:extLst>
            <a:ext uri="{FF2B5EF4-FFF2-40B4-BE49-F238E27FC236}">
              <a16:creationId xmlns:a16="http://schemas.microsoft.com/office/drawing/2014/main" id="{C3A36BE6-BAEE-42FA-9161-545AF7303BA2}"/>
            </a:ext>
          </a:extLst>
        </xdr:cNvPr>
        <xdr:cNvSpPr/>
      </xdr:nvSpPr>
      <xdr:spPr>
        <a:xfrm>
          <a:off x="145678" y="6299946"/>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Una función en Excel es un tipo especial de fórmula predefinida que simplifica la realización de cálculos complejos. Las funciones tienen un nombre y se siguen de paréntesis, dentro de los cuales se colocan los argumentos (o parámetros) que la función necesita para ejecutar su cálculo. Excel ofrece una amplia gama de funciones integradas para diferentes categorías como matemáticas, estadísticas, lógicas, de texto, de fecha y hora, y más. Un ejemplo de función es =SUMA(A1:A10), que suma todos los valores dentro del rango de celdas de A1 a A10.</a:t>
          </a:r>
        </a:p>
      </xdr:txBody>
    </xdr:sp>
    <xdr:clientData/>
  </xdr:twoCellAnchor>
  <xdr:twoCellAnchor editAs="absolute">
    <xdr:from>
      <xdr:col>1</xdr:col>
      <xdr:colOff>14383</xdr:colOff>
      <xdr:row>31</xdr:row>
      <xdr:rowOff>131668</xdr:rowOff>
    </xdr:from>
    <xdr:to>
      <xdr:col>13</xdr:col>
      <xdr:colOff>988600</xdr:colOff>
      <xdr:row>32</xdr:row>
      <xdr:rowOff>167402</xdr:rowOff>
    </xdr:to>
    <xdr:sp macro="" textlink="">
      <xdr:nvSpPr>
        <xdr:cNvPr id="48" name="Rectángulo: esquinas redondeadas 47">
          <a:extLst>
            <a:ext uri="{FF2B5EF4-FFF2-40B4-BE49-F238E27FC236}">
              <a16:creationId xmlns:a16="http://schemas.microsoft.com/office/drawing/2014/main" id="{9757B71F-F220-4B44-A21A-1BD58B3EC9C8}"/>
            </a:ext>
          </a:extLst>
        </xdr:cNvPr>
        <xdr:cNvSpPr/>
      </xdr:nvSpPr>
      <xdr:spPr>
        <a:xfrm>
          <a:off x="134473" y="7069790"/>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absolute">
    <xdr:from>
      <xdr:col>1</xdr:col>
      <xdr:colOff>36044</xdr:colOff>
      <xdr:row>50</xdr:row>
      <xdr:rowOff>33427</xdr:rowOff>
    </xdr:from>
    <xdr:to>
      <xdr:col>14</xdr:col>
      <xdr:colOff>17233</xdr:colOff>
      <xdr:row>51</xdr:row>
      <xdr:rowOff>90577</xdr:rowOff>
    </xdr:to>
    <xdr:sp macro="" textlink="">
      <xdr:nvSpPr>
        <xdr:cNvPr id="49" name="Rectángulo: esquinas redondeadas 48">
          <a:extLst>
            <a:ext uri="{FF2B5EF4-FFF2-40B4-BE49-F238E27FC236}">
              <a16:creationId xmlns:a16="http://schemas.microsoft.com/office/drawing/2014/main" id="{9135C592-B1FD-487D-8240-45C775DDD58C}"/>
            </a:ext>
          </a:extLst>
        </xdr:cNvPr>
        <xdr:cNvSpPr/>
      </xdr:nvSpPr>
      <xdr:spPr>
        <a:xfrm>
          <a:off x="156134" y="11236134"/>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Diferencias entre Fórmulas y Funciones</a:t>
          </a:r>
        </a:p>
      </xdr:txBody>
    </xdr:sp>
    <xdr:clientData/>
  </xdr:twoCellAnchor>
  <xdr:twoCellAnchor editAs="oneCell">
    <xdr:from>
      <xdr:col>1</xdr:col>
      <xdr:colOff>22413</xdr:colOff>
      <xdr:row>51</xdr:row>
      <xdr:rowOff>215150</xdr:rowOff>
    </xdr:from>
    <xdr:to>
      <xdr:col>14</xdr:col>
      <xdr:colOff>73650</xdr:colOff>
      <xdr:row>54</xdr:row>
      <xdr:rowOff>169027</xdr:rowOff>
    </xdr:to>
    <xdr:sp macro="" textlink="">
      <xdr:nvSpPr>
        <xdr:cNvPr id="50" name="Rectángulo: esquinas redondeadas 49">
          <a:extLst>
            <a:ext uri="{FF2B5EF4-FFF2-40B4-BE49-F238E27FC236}">
              <a16:creationId xmlns:a16="http://schemas.microsoft.com/office/drawing/2014/main" id="{E3901691-81A7-4D41-ABC4-934E569A040F}"/>
            </a:ext>
          </a:extLst>
        </xdr:cNvPr>
        <xdr:cNvSpPr/>
      </xdr:nvSpPr>
      <xdr:spPr>
        <a:xfrm>
          <a:off x="145678" y="11645150"/>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Creación: </a:t>
          </a:r>
          <a:r>
            <a:rPr lang="en-US" sz="1000" b="0">
              <a:solidFill>
                <a:schemeClr val="tx1"/>
              </a:solidFill>
              <a:latin typeface="Montserrat" panose="00000500000000000000" pitchFamily="2" charset="0"/>
              <a:ea typeface="+mn-ea"/>
              <a:cs typeface="+mn-cs"/>
            </a:rPr>
            <a:t>Las fórmulas son creadas por el usuario para realizar cálculos específicos, utilizando operadores matemáticos entre valores y referencias a celdas. Las funciones, por otro lado, son fórmulas predefinidas por Excel que realizan una tarea específica, como sumar o promediar un conjunto de números.</a:t>
          </a:r>
        </a:p>
      </xdr:txBody>
    </xdr:sp>
    <xdr:clientData/>
  </xdr:twoCellAnchor>
  <xdr:twoCellAnchor editAs="oneCell">
    <xdr:from>
      <xdr:col>1</xdr:col>
      <xdr:colOff>29137</xdr:colOff>
      <xdr:row>55</xdr:row>
      <xdr:rowOff>87402</xdr:rowOff>
    </xdr:from>
    <xdr:to>
      <xdr:col>14</xdr:col>
      <xdr:colOff>77199</xdr:colOff>
      <xdr:row>58</xdr:row>
      <xdr:rowOff>38104</xdr:rowOff>
    </xdr:to>
    <xdr:sp macro="" textlink="">
      <xdr:nvSpPr>
        <xdr:cNvPr id="51" name="Rectángulo: esquinas redondeadas 50">
          <a:extLst>
            <a:ext uri="{FF2B5EF4-FFF2-40B4-BE49-F238E27FC236}">
              <a16:creationId xmlns:a16="http://schemas.microsoft.com/office/drawing/2014/main" id="{B30AA5EF-873F-4C04-9BDD-498DAB321F0F}"/>
            </a:ext>
          </a:extLst>
        </xdr:cNvPr>
        <xdr:cNvSpPr/>
      </xdr:nvSpPr>
      <xdr:spPr>
        <a:xfrm>
          <a:off x="152402" y="12413873"/>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Complejidad: </a:t>
          </a:r>
          <a:r>
            <a:rPr lang="en-US" sz="1000" b="0">
              <a:solidFill>
                <a:schemeClr val="tx1"/>
              </a:solidFill>
              <a:latin typeface="Montserrat" panose="00000500000000000000" pitchFamily="2" charset="0"/>
              <a:ea typeface="+mn-ea"/>
              <a:cs typeface="+mn-cs"/>
            </a:rPr>
            <a:t>Las fórmulas pueden ser tan simples como una operación básica entre dos números o tan complejas como el usuario las necesite, combinando múltiples funciones y operadores. Las funciones están diseñadas para realizar tareas específicas y pueden simplificar la creación de fórmulas complejas al encapsular operaciones comunes.</a:t>
          </a:r>
        </a:p>
      </xdr:txBody>
    </xdr:sp>
    <xdr:clientData/>
  </xdr:twoCellAnchor>
  <xdr:twoCellAnchor editAs="oneCell">
    <xdr:from>
      <xdr:col>1</xdr:col>
      <xdr:colOff>35860</xdr:colOff>
      <xdr:row>58</xdr:row>
      <xdr:rowOff>206185</xdr:rowOff>
    </xdr:from>
    <xdr:to>
      <xdr:col>14</xdr:col>
      <xdr:colOff>93447</xdr:colOff>
      <xdr:row>61</xdr:row>
      <xdr:rowOff>156888</xdr:rowOff>
    </xdr:to>
    <xdr:sp macro="" textlink="">
      <xdr:nvSpPr>
        <xdr:cNvPr id="52" name="Rectángulo: esquinas redondeadas 51">
          <a:extLst>
            <a:ext uri="{FF2B5EF4-FFF2-40B4-BE49-F238E27FC236}">
              <a16:creationId xmlns:a16="http://schemas.microsoft.com/office/drawing/2014/main" id="{88C57C5A-F67D-4166-978E-6ADCEB2938B6}"/>
            </a:ext>
          </a:extLst>
        </xdr:cNvPr>
        <xdr:cNvSpPr/>
      </xdr:nvSpPr>
      <xdr:spPr>
        <a:xfrm>
          <a:off x="159125" y="13205009"/>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Argumentos: </a:t>
          </a:r>
          <a:r>
            <a:rPr lang="en-US" sz="1000" b="0">
              <a:solidFill>
                <a:schemeClr val="tx1"/>
              </a:solidFill>
              <a:latin typeface="Montserrat" panose="00000500000000000000" pitchFamily="2" charset="0"/>
              <a:ea typeface="+mn-ea"/>
              <a:cs typeface="+mn-cs"/>
            </a:rPr>
            <a:t>Mientras que en las fórmulas los usuarios definen explícitamente todos los valores, operadores y referencias a celdas, en las funciones los usuarios simplemente proporcionan los argumentos necesarios según lo definido por la función, que pueden ser valores constantes, referencias a celdas, o incluso otras funciones.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12699</xdr:colOff>
      <xdr:row>0</xdr:row>
      <xdr:rowOff>107950</xdr:rowOff>
    </xdr:from>
    <xdr:to>
      <xdr:col>13</xdr:col>
      <xdr:colOff>264584</xdr:colOff>
      <xdr:row>2</xdr:row>
      <xdr:rowOff>184150</xdr:rowOff>
    </xdr:to>
    <xdr:grpSp>
      <xdr:nvGrpSpPr>
        <xdr:cNvPr id="2" name="Grupo 1">
          <a:extLst>
            <a:ext uri="{FF2B5EF4-FFF2-40B4-BE49-F238E27FC236}">
              <a16:creationId xmlns:a16="http://schemas.microsoft.com/office/drawing/2014/main" id="{847E2040-56C4-4F13-8A07-F98CC7CDB7A9}"/>
            </a:ext>
          </a:extLst>
        </xdr:cNvPr>
        <xdr:cNvGrpSpPr/>
      </xdr:nvGrpSpPr>
      <xdr:grpSpPr>
        <a:xfrm>
          <a:off x="124758" y="107950"/>
          <a:ext cx="13553267" cy="434788"/>
          <a:chOff x="136524" y="104775"/>
          <a:chExt cx="13664143" cy="541867"/>
        </a:xfrm>
      </xdr:grpSpPr>
      <xdr:sp macro="" textlink="">
        <xdr:nvSpPr>
          <xdr:cNvPr id="3" name="Rectángulo: esquinas redondeadas 2">
            <a:extLst>
              <a:ext uri="{FF2B5EF4-FFF2-40B4-BE49-F238E27FC236}">
                <a16:creationId xmlns:a16="http://schemas.microsoft.com/office/drawing/2014/main" id="{0D6510FF-0D66-9FF2-EFE0-EE4C78AFB572}"/>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 name="CuadroTexto 3">
            <a:extLst>
              <a:ext uri="{FF2B5EF4-FFF2-40B4-BE49-F238E27FC236}">
                <a16:creationId xmlns:a16="http://schemas.microsoft.com/office/drawing/2014/main" id="{87F11768-4D26-A526-5450-52F948687360}"/>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OPERADORES: Jerarquía</a:t>
            </a:r>
            <a:r>
              <a:rPr lang="en-US" sz="2400" b="0" baseline="0">
                <a:solidFill>
                  <a:schemeClr val="bg1"/>
                </a:solidFill>
                <a:latin typeface="Montserrat" panose="00000500000000000000" pitchFamily="2" charset="0"/>
              </a:rPr>
              <a:t> y</a:t>
            </a:r>
            <a:r>
              <a:rPr lang="en-US" sz="2400" b="0">
                <a:solidFill>
                  <a:schemeClr val="bg1"/>
                </a:solidFill>
                <a:latin typeface="Montserrat" panose="00000500000000000000" pitchFamily="2" charset="0"/>
              </a:rPr>
              <a:t> Comparación</a:t>
            </a:r>
          </a:p>
        </xdr:txBody>
      </xdr:sp>
      <xdr:pic>
        <xdr:nvPicPr>
          <xdr:cNvPr id="5" name="Gráfico 4" descr="Search Inventory con relleno sólido">
            <a:extLst>
              <a:ext uri="{FF2B5EF4-FFF2-40B4-BE49-F238E27FC236}">
                <a16:creationId xmlns:a16="http://schemas.microsoft.com/office/drawing/2014/main" id="{E8F35893-BFE7-6EFF-D48B-E84FAF4745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6" name="Gráfico 5" descr="Circle with left arrow con relleno sólido">
            <a:hlinkClick xmlns:r="http://schemas.openxmlformats.org/officeDocument/2006/relationships" r:id="rId3"/>
            <a:extLst>
              <a:ext uri="{FF2B5EF4-FFF2-40B4-BE49-F238E27FC236}">
                <a16:creationId xmlns:a16="http://schemas.microsoft.com/office/drawing/2014/main" id="{1BA93246-47BB-CB9E-18E0-9A3CF853467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0</xdr:col>
      <xdr:colOff>111310</xdr:colOff>
      <xdr:row>3</xdr:row>
      <xdr:rowOff>95248</xdr:rowOff>
    </xdr:from>
    <xdr:to>
      <xdr:col>11</xdr:col>
      <xdr:colOff>437640</xdr:colOff>
      <xdr:row>4</xdr:row>
      <xdr:rowOff>149223</xdr:rowOff>
    </xdr:to>
    <xdr:sp macro="" textlink="">
      <xdr:nvSpPr>
        <xdr:cNvPr id="7" name="Rectángulo: esquinas redondeadas 6">
          <a:extLst>
            <a:ext uri="{FF2B5EF4-FFF2-40B4-BE49-F238E27FC236}">
              <a16:creationId xmlns:a16="http://schemas.microsoft.com/office/drawing/2014/main" id="{9FE629F9-5F8D-4201-A8B7-3B097FEFF6A2}"/>
            </a:ext>
          </a:extLst>
        </xdr:cNvPr>
        <xdr:cNvSpPr/>
      </xdr:nvSpPr>
      <xdr:spPr>
        <a:xfrm>
          <a:off x="111310" y="781048"/>
          <a:ext cx="13576352"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Jerarquía</a:t>
          </a:r>
        </a:p>
      </xdr:txBody>
    </xdr:sp>
    <xdr:clientData/>
  </xdr:twoCellAnchor>
  <xdr:twoCellAnchor editAs="oneCell">
    <xdr:from>
      <xdr:col>0</xdr:col>
      <xdr:colOff>100854</xdr:colOff>
      <xdr:row>5</xdr:row>
      <xdr:rowOff>56029</xdr:rowOff>
    </xdr:from>
    <xdr:to>
      <xdr:col>11</xdr:col>
      <xdr:colOff>494057</xdr:colOff>
      <xdr:row>6</xdr:row>
      <xdr:rowOff>204881</xdr:rowOff>
    </xdr:to>
    <xdr:sp macro="" textlink="">
      <xdr:nvSpPr>
        <xdr:cNvPr id="8" name="Rectángulo: esquinas redondeadas 7">
          <a:extLst>
            <a:ext uri="{FF2B5EF4-FFF2-40B4-BE49-F238E27FC236}">
              <a16:creationId xmlns:a16="http://schemas.microsoft.com/office/drawing/2014/main" id="{5F69673A-8F52-4142-AF18-6DCA7B3CACA1}"/>
            </a:ext>
          </a:extLst>
        </xdr:cNvPr>
        <xdr:cNvSpPr/>
      </xdr:nvSpPr>
      <xdr:spPr>
        <a:xfrm>
          <a:off x="104029" y="1199029"/>
          <a:ext cx="13640050" cy="37745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Los operadores aritméticos en Excel son símbolos que representan operaciones matemáticas básicas y se utilizan dentro de fórmulas y funciones para realizar cálculos entre valores y celdas.</a:t>
          </a:r>
        </a:p>
      </xdr:txBody>
    </xdr:sp>
    <xdr:clientData/>
  </xdr:twoCellAnchor>
  <xdr:twoCellAnchor editAs="oneCell">
    <xdr:from>
      <xdr:col>1</xdr:col>
      <xdr:colOff>11206</xdr:colOff>
      <xdr:row>15</xdr:row>
      <xdr:rowOff>19048</xdr:rowOff>
    </xdr:from>
    <xdr:to>
      <xdr:col>11</xdr:col>
      <xdr:colOff>477236</xdr:colOff>
      <xdr:row>16</xdr:row>
      <xdr:rowOff>61133</xdr:rowOff>
    </xdr:to>
    <xdr:sp macro="" textlink="">
      <xdr:nvSpPr>
        <xdr:cNvPr id="9" name="Rectángulo: esquinas redondeadas 8">
          <a:extLst>
            <a:ext uri="{FF2B5EF4-FFF2-40B4-BE49-F238E27FC236}">
              <a16:creationId xmlns:a16="http://schemas.microsoft.com/office/drawing/2014/main" id="{EE59BF56-D179-46E8-8EFB-6F7EBE679942}"/>
            </a:ext>
          </a:extLst>
        </xdr:cNvPr>
        <xdr:cNvSpPr/>
      </xdr:nvSpPr>
      <xdr:spPr>
        <a:xfrm>
          <a:off x="141381" y="3448048"/>
          <a:ext cx="13576352" cy="27068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10456</xdr:colOff>
      <xdr:row>32</xdr:row>
      <xdr:rowOff>0</xdr:rowOff>
    </xdr:from>
    <xdr:to>
      <xdr:col>11</xdr:col>
      <xdr:colOff>456876</xdr:colOff>
      <xdr:row>33</xdr:row>
      <xdr:rowOff>53976</xdr:rowOff>
    </xdr:to>
    <xdr:sp macro="" textlink="">
      <xdr:nvSpPr>
        <xdr:cNvPr id="10" name="Rectángulo: esquinas redondeadas 9">
          <a:extLst>
            <a:ext uri="{FF2B5EF4-FFF2-40B4-BE49-F238E27FC236}">
              <a16:creationId xmlns:a16="http://schemas.microsoft.com/office/drawing/2014/main" id="{C8D3DF11-5D66-4850-96FD-32E40F9FCA74}"/>
            </a:ext>
          </a:extLst>
        </xdr:cNvPr>
        <xdr:cNvSpPr/>
      </xdr:nvSpPr>
      <xdr:spPr>
        <a:xfrm>
          <a:off x="140631" y="7315200"/>
          <a:ext cx="13569442" cy="2825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Comparación</a:t>
          </a:r>
        </a:p>
      </xdr:txBody>
    </xdr:sp>
    <xdr:clientData/>
  </xdr:twoCellAnchor>
  <xdr:twoCellAnchor editAs="oneCell">
    <xdr:from>
      <xdr:col>1</xdr:col>
      <xdr:colOff>0</xdr:colOff>
      <xdr:row>33</xdr:row>
      <xdr:rowOff>184899</xdr:rowOff>
    </xdr:from>
    <xdr:to>
      <xdr:col>11</xdr:col>
      <xdr:colOff>513293</xdr:colOff>
      <xdr:row>36</xdr:row>
      <xdr:rowOff>54349</xdr:rowOff>
    </xdr:to>
    <xdr:sp macro="" textlink="">
      <xdr:nvSpPr>
        <xdr:cNvPr id="11" name="Rectángulo: esquinas redondeadas 10">
          <a:extLst>
            <a:ext uri="{FF2B5EF4-FFF2-40B4-BE49-F238E27FC236}">
              <a16:creationId xmlns:a16="http://schemas.microsoft.com/office/drawing/2014/main" id="{8B1C1C12-B1F0-46D7-82D6-12D3B4D07B08}"/>
            </a:ext>
          </a:extLst>
        </xdr:cNvPr>
        <xdr:cNvSpPr/>
      </xdr:nvSpPr>
      <xdr:spPr>
        <a:xfrm>
          <a:off x="127000" y="7731874"/>
          <a:ext cx="13636315" cy="54572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Los operadores de comparación en Excel se utilizan para comparar dos valores y devolver un valor lógico: VERDADERO si la comparación es cierta, o FALSO si no lo es. Son fundamentales para construir condiciones lógicas en fórmulas, especialmente en funciones como SI, CONTAR.SI, SUMAR.SI, entre otras, permitiendo realizar análisis y toma de decisiones basados en datos.</a:t>
          </a:r>
        </a:p>
      </xdr:txBody>
    </xdr:sp>
    <xdr:clientData/>
  </xdr:twoCellAnchor>
  <xdr:twoCellAnchor editAs="oneCell">
    <xdr:from>
      <xdr:col>0</xdr:col>
      <xdr:colOff>112059</xdr:colOff>
      <xdr:row>44</xdr:row>
      <xdr:rowOff>147919</xdr:rowOff>
    </xdr:from>
    <xdr:to>
      <xdr:col>11</xdr:col>
      <xdr:colOff>442124</xdr:colOff>
      <xdr:row>45</xdr:row>
      <xdr:rowOff>190003</xdr:rowOff>
    </xdr:to>
    <xdr:sp macro="" textlink="">
      <xdr:nvSpPr>
        <xdr:cNvPr id="12" name="Rectángulo: esquinas redondeadas 11">
          <a:extLst>
            <a:ext uri="{FF2B5EF4-FFF2-40B4-BE49-F238E27FC236}">
              <a16:creationId xmlns:a16="http://schemas.microsoft.com/office/drawing/2014/main" id="{EAD57A09-B33C-4299-A779-E757F25CEE5A}"/>
            </a:ext>
          </a:extLst>
        </xdr:cNvPr>
        <xdr:cNvSpPr/>
      </xdr:nvSpPr>
      <xdr:spPr>
        <a:xfrm>
          <a:off x="112059" y="10206319"/>
          <a:ext cx="13580087" cy="27068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12699</xdr:colOff>
      <xdr:row>0</xdr:row>
      <xdr:rowOff>107950</xdr:rowOff>
    </xdr:from>
    <xdr:to>
      <xdr:col>13</xdr:col>
      <xdr:colOff>264584</xdr:colOff>
      <xdr:row>2</xdr:row>
      <xdr:rowOff>184150</xdr:rowOff>
    </xdr:to>
    <xdr:grpSp>
      <xdr:nvGrpSpPr>
        <xdr:cNvPr id="2" name="Grupo 1">
          <a:extLst>
            <a:ext uri="{FF2B5EF4-FFF2-40B4-BE49-F238E27FC236}">
              <a16:creationId xmlns:a16="http://schemas.microsoft.com/office/drawing/2014/main" id="{27473C41-BEDE-4CBC-A400-045B13732300}"/>
            </a:ext>
          </a:extLst>
        </xdr:cNvPr>
        <xdr:cNvGrpSpPr/>
      </xdr:nvGrpSpPr>
      <xdr:grpSpPr>
        <a:xfrm>
          <a:off x="124758" y="107950"/>
          <a:ext cx="13250708" cy="434788"/>
          <a:chOff x="136524" y="104775"/>
          <a:chExt cx="13664143" cy="541867"/>
        </a:xfrm>
      </xdr:grpSpPr>
      <xdr:sp macro="" textlink="">
        <xdr:nvSpPr>
          <xdr:cNvPr id="3" name="Rectángulo: esquinas redondeadas 2">
            <a:extLst>
              <a:ext uri="{FF2B5EF4-FFF2-40B4-BE49-F238E27FC236}">
                <a16:creationId xmlns:a16="http://schemas.microsoft.com/office/drawing/2014/main" id="{9CBD7D12-57D5-577F-90D0-A1C752395EA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 name="CuadroTexto 3">
            <a:extLst>
              <a:ext uri="{FF2B5EF4-FFF2-40B4-BE49-F238E27FC236}">
                <a16:creationId xmlns:a16="http://schemas.microsoft.com/office/drawing/2014/main" id="{0FBA7650-ADEB-60B0-A122-69742F0C0570}"/>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PORCENTAJES:</a:t>
            </a:r>
            <a:r>
              <a:rPr lang="en-US" sz="2400" b="0" baseline="0">
                <a:solidFill>
                  <a:schemeClr val="bg1"/>
                </a:solidFill>
                <a:latin typeface="Montserrat" panose="00000500000000000000" pitchFamily="2" charset="0"/>
              </a:rPr>
              <a:t> vs TOTAL y vs VARIACIÓN</a:t>
            </a:r>
            <a:endParaRPr lang="en-US" sz="2400" b="0">
              <a:solidFill>
                <a:schemeClr val="bg1"/>
              </a:solidFill>
              <a:latin typeface="Montserrat" panose="00000500000000000000" pitchFamily="2" charset="0"/>
            </a:endParaRPr>
          </a:p>
        </xdr:txBody>
      </xdr:sp>
      <xdr:pic>
        <xdr:nvPicPr>
          <xdr:cNvPr id="5" name="Gráfico 4" descr="Search Inventory con relleno sólido">
            <a:extLst>
              <a:ext uri="{FF2B5EF4-FFF2-40B4-BE49-F238E27FC236}">
                <a16:creationId xmlns:a16="http://schemas.microsoft.com/office/drawing/2014/main" id="{E5AAEA8E-71A2-A797-563F-7F1F2D68C3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6" name="Gráfico 5" descr="Circle with left arrow con relleno sólido">
            <a:hlinkClick xmlns:r="http://schemas.openxmlformats.org/officeDocument/2006/relationships" r:id="rId3"/>
            <a:extLst>
              <a:ext uri="{FF2B5EF4-FFF2-40B4-BE49-F238E27FC236}">
                <a16:creationId xmlns:a16="http://schemas.microsoft.com/office/drawing/2014/main" id="{52DD0614-8110-FBE7-BED8-1D0FA010ABB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0</xdr:col>
      <xdr:colOff>111310</xdr:colOff>
      <xdr:row>3</xdr:row>
      <xdr:rowOff>95248</xdr:rowOff>
    </xdr:from>
    <xdr:to>
      <xdr:col>11</xdr:col>
      <xdr:colOff>719468</xdr:colOff>
      <xdr:row>4</xdr:row>
      <xdr:rowOff>149223</xdr:rowOff>
    </xdr:to>
    <xdr:sp macro="" textlink="">
      <xdr:nvSpPr>
        <xdr:cNvPr id="7" name="Rectángulo: esquinas redondeadas 6">
          <a:extLst>
            <a:ext uri="{FF2B5EF4-FFF2-40B4-BE49-F238E27FC236}">
              <a16:creationId xmlns:a16="http://schemas.microsoft.com/office/drawing/2014/main" id="{D615E86E-EEA4-4B2E-B935-4D91C08242D6}"/>
            </a:ext>
          </a:extLst>
        </xdr:cNvPr>
        <xdr:cNvSpPr/>
      </xdr:nvSpPr>
      <xdr:spPr>
        <a:xfrm>
          <a:off x="111310" y="781048"/>
          <a:ext cx="13576352"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vs TOTAL</a:t>
          </a:r>
        </a:p>
      </xdr:txBody>
    </xdr:sp>
    <xdr:clientData/>
  </xdr:twoCellAnchor>
  <xdr:twoCellAnchor editAs="oneCell">
    <xdr:from>
      <xdr:col>0</xdr:col>
      <xdr:colOff>100854</xdr:colOff>
      <xdr:row>5</xdr:row>
      <xdr:rowOff>56029</xdr:rowOff>
    </xdr:from>
    <xdr:to>
      <xdr:col>11</xdr:col>
      <xdr:colOff>779060</xdr:colOff>
      <xdr:row>8</xdr:row>
      <xdr:rowOff>112059</xdr:rowOff>
    </xdr:to>
    <xdr:sp macro="" textlink="">
      <xdr:nvSpPr>
        <xdr:cNvPr id="8" name="Rectángulo: esquinas redondeadas 7">
          <a:extLst>
            <a:ext uri="{FF2B5EF4-FFF2-40B4-BE49-F238E27FC236}">
              <a16:creationId xmlns:a16="http://schemas.microsoft.com/office/drawing/2014/main" id="{028999BD-DA8B-4255-9ADF-ACB9EEBAF8B5}"/>
            </a:ext>
          </a:extLst>
        </xdr:cNvPr>
        <xdr:cNvSpPr/>
      </xdr:nvSpPr>
      <xdr:spPr>
        <a:xfrm>
          <a:off x="104029" y="1199029"/>
          <a:ext cx="13640050" cy="74183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Un porcentaje es una forma de expresar un número como una fracción de 100. Se utiliza para describir cómo una cantidad se relaciona con un todo, representando proporciones o comparaciones en términos más comprensibles. Cuando hablamos de un porcentaje de un total, nos referimos a cómo una parte específica se compara con el total general de algo. Esto es útil para entender la proporción o la participación de una parte dentro de un conjunto completo.</a:t>
          </a:r>
        </a:p>
      </xdr:txBody>
    </xdr:sp>
    <xdr:clientData/>
  </xdr:twoCellAnchor>
  <xdr:twoCellAnchor editAs="oneCell">
    <xdr:from>
      <xdr:col>1</xdr:col>
      <xdr:colOff>11206</xdr:colOff>
      <xdr:row>10</xdr:row>
      <xdr:rowOff>19048</xdr:rowOff>
    </xdr:from>
    <xdr:to>
      <xdr:col>11</xdr:col>
      <xdr:colOff>759064</xdr:colOff>
      <xdr:row>11</xdr:row>
      <xdr:rowOff>61132</xdr:rowOff>
    </xdr:to>
    <xdr:sp macro="" textlink="">
      <xdr:nvSpPr>
        <xdr:cNvPr id="9" name="Rectángulo: esquinas redondeadas 8">
          <a:extLst>
            <a:ext uri="{FF2B5EF4-FFF2-40B4-BE49-F238E27FC236}">
              <a16:creationId xmlns:a16="http://schemas.microsoft.com/office/drawing/2014/main" id="{5E1F1818-6F17-4EF4-A815-B1E3E760C41B}"/>
            </a:ext>
          </a:extLst>
        </xdr:cNvPr>
        <xdr:cNvSpPr/>
      </xdr:nvSpPr>
      <xdr:spPr>
        <a:xfrm>
          <a:off x="141381" y="2305048"/>
          <a:ext cx="13576352" cy="27068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103279</xdr:colOff>
      <xdr:row>28</xdr:row>
      <xdr:rowOff>119529</xdr:rowOff>
    </xdr:from>
    <xdr:to>
      <xdr:col>11</xdr:col>
      <xdr:colOff>704527</xdr:colOff>
      <xdr:row>29</xdr:row>
      <xdr:rowOff>173505</xdr:rowOff>
    </xdr:to>
    <xdr:sp macro="" textlink="">
      <xdr:nvSpPr>
        <xdr:cNvPr id="10" name="Rectángulo: esquinas redondeadas 9">
          <a:extLst>
            <a:ext uri="{FF2B5EF4-FFF2-40B4-BE49-F238E27FC236}">
              <a16:creationId xmlns:a16="http://schemas.microsoft.com/office/drawing/2014/main" id="{6632E43D-CD33-40CD-8246-F14EE14F7FDB}"/>
            </a:ext>
          </a:extLst>
        </xdr:cNvPr>
        <xdr:cNvSpPr/>
      </xdr:nvSpPr>
      <xdr:spPr>
        <a:xfrm>
          <a:off x="103279" y="6604000"/>
          <a:ext cx="13585130" cy="28556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vs VARIACIÓN</a:t>
          </a:r>
        </a:p>
      </xdr:txBody>
    </xdr:sp>
    <xdr:clientData/>
  </xdr:twoCellAnchor>
  <xdr:twoCellAnchor editAs="oneCell">
    <xdr:from>
      <xdr:col>0</xdr:col>
      <xdr:colOff>89648</xdr:colOff>
      <xdr:row>30</xdr:row>
      <xdr:rowOff>76016</xdr:rowOff>
    </xdr:from>
    <xdr:to>
      <xdr:col>11</xdr:col>
      <xdr:colOff>757769</xdr:colOff>
      <xdr:row>33</xdr:row>
      <xdr:rowOff>110378</xdr:rowOff>
    </xdr:to>
    <xdr:sp macro="" textlink="">
      <xdr:nvSpPr>
        <xdr:cNvPr id="11" name="Rectángulo: esquinas redondeadas 10">
          <a:extLst>
            <a:ext uri="{FF2B5EF4-FFF2-40B4-BE49-F238E27FC236}">
              <a16:creationId xmlns:a16="http://schemas.microsoft.com/office/drawing/2014/main" id="{FBC84F34-DDE4-4993-B939-30D193ADD697}"/>
            </a:ext>
          </a:extLst>
        </xdr:cNvPr>
        <xdr:cNvSpPr/>
      </xdr:nvSpPr>
      <xdr:spPr>
        <a:xfrm>
          <a:off x="89648" y="7023663"/>
          <a:ext cx="13652003" cy="71960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El porcentaje de variación mide el cambio porcentual entre dos valores, indicando cuánto ha aumentado o disminuido un valor en términos porcentuales respecto a otro. Es especialmente útil en análisis financiero, ventas, y otros campos para evaluar el crecimiento o la contracción.</a:t>
          </a:r>
        </a:p>
      </xdr:txBody>
    </xdr:sp>
    <xdr:clientData/>
  </xdr:twoCellAnchor>
  <xdr:twoCellAnchor editAs="oneCell">
    <xdr:from>
      <xdr:col>0</xdr:col>
      <xdr:colOff>74707</xdr:colOff>
      <xdr:row>34</xdr:row>
      <xdr:rowOff>35861</xdr:rowOff>
    </xdr:from>
    <xdr:to>
      <xdr:col>11</xdr:col>
      <xdr:colOff>702475</xdr:colOff>
      <xdr:row>35</xdr:row>
      <xdr:rowOff>77946</xdr:rowOff>
    </xdr:to>
    <xdr:sp macro="" textlink="">
      <xdr:nvSpPr>
        <xdr:cNvPr id="12" name="Rectángulo: esquinas redondeadas 11">
          <a:extLst>
            <a:ext uri="{FF2B5EF4-FFF2-40B4-BE49-F238E27FC236}">
              <a16:creationId xmlns:a16="http://schemas.microsoft.com/office/drawing/2014/main" id="{453787C0-56B8-46E2-A889-E503B64D6E83}"/>
            </a:ext>
          </a:extLst>
        </xdr:cNvPr>
        <xdr:cNvSpPr/>
      </xdr:nvSpPr>
      <xdr:spPr>
        <a:xfrm>
          <a:off x="74707" y="7909861"/>
          <a:ext cx="13595775" cy="27367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0</xdr:row>
      <xdr:rowOff>104775</xdr:rowOff>
    </xdr:from>
    <xdr:to>
      <xdr:col>13</xdr:col>
      <xdr:colOff>264584</xdr:colOff>
      <xdr:row>2</xdr:row>
      <xdr:rowOff>180975</xdr:rowOff>
    </xdr:to>
    <xdr:grpSp>
      <xdr:nvGrpSpPr>
        <xdr:cNvPr id="2" name="Grupo 1">
          <a:extLst>
            <a:ext uri="{FF2B5EF4-FFF2-40B4-BE49-F238E27FC236}">
              <a16:creationId xmlns:a16="http://schemas.microsoft.com/office/drawing/2014/main" id="{72862499-E2A6-4565-80A5-1E0575F03692}"/>
            </a:ext>
          </a:extLst>
        </xdr:cNvPr>
        <xdr:cNvGrpSpPr/>
      </xdr:nvGrpSpPr>
      <xdr:grpSpPr>
        <a:xfrm>
          <a:off x="125481" y="104775"/>
          <a:ext cx="13631473" cy="440635"/>
          <a:chOff x="136524" y="104775"/>
          <a:chExt cx="13664143" cy="541867"/>
        </a:xfrm>
      </xdr:grpSpPr>
      <xdr:sp macro="" textlink="">
        <xdr:nvSpPr>
          <xdr:cNvPr id="3" name="Rectángulo: esquinas redondeadas 2">
            <a:extLst>
              <a:ext uri="{FF2B5EF4-FFF2-40B4-BE49-F238E27FC236}">
                <a16:creationId xmlns:a16="http://schemas.microsoft.com/office/drawing/2014/main" id="{0D7E2DA6-497E-0AD4-6230-6EB0E23BF8F4}"/>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 name="CuadroTexto 3">
            <a:extLst>
              <a:ext uri="{FF2B5EF4-FFF2-40B4-BE49-F238E27FC236}">
                <a16:creationId xmlns:a16="http://schemas.microsoft.com/office/drawing/2014/main" id="{A8A58B37-4FF4-77AE-2AAD-D57F2C799E89}"/>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REFERENCIAS</a:t>
            </a:r>
          </a:p>
        </xdr:txBody>
      </xdr:sp>
      <xdr:pic>
        <xdr:nvPicPr>
          <xdr:cNvPr id="5" name="Gráfico 4" descr="Search Inventory con relleno sólido">
            <a:extLst>
              <a:ext uri="{FF2B5EF4-FFF2-40B4-BE49-F238E27FC236}">
                <a16:creationId xmlns:a16="http://schemas.microsoft.com/office/drawing/2014/main" id="{7D063D1B-F287-A4CC-6C7D-5A9FD90156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6" name="Gráfico 5" descr="Circle with left arrow con relleno sólido">
            <a:hlinkClick xmlns:r="http://schemas.openxmlformats.org/officeDocument/2006/relationships" r:id="rId3"/>
            <a:extLst>
              <a:ext uri="{FF2B5EF4-FFF2-40B4-BE49-F238E27FC236}">
                <a16:creationId xmlns:a16="http://schemas.microsoft.com/office/drawing/2014/main" id="{4D6E8F7D-7516-458E-046D-78A54C04F1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0</xdr:col>
      <xdr:colOff>111310</xdr:colOff>
      <xdr:row>3</xdr:row>
      <xdr:rowOff>95248</xdr:rowOff>
    </xdr:from>
    <xdr:to>
      <xdr:col>11</xdr:col>
      <xdr:colOff>244526</xdr:colOff>
      <xdr:row>4</xdr:row>
      <xdr:rowOff>149223</xdr:rowOff>
    </xdr:to>
    <xdr:sp macro="" textlink="">
      <xdr:nvSpPr>
        <xdr:cNvPr id="7" name="Rectángulo: esquinas redondeadas 6">
          <a:extLst>
            <a:ext uri="{FF2B5EF4-FFF2-40B4-BE49-F238E27FC236}">
              <a16:creationId xmlns:a16="http://schemas.microsoft.com/office/drawing/2014/main" id="{6E9F9759-873B-499C-A3AD-C8FBFF2A7098}"/>
            </a:ext>
          </a:extLst>
        </xdr:cNvPr>
        <xdr:cNvSpPr/>
      </xdr:nvSpPr>
      <xdr:spPr>
        <a:xfrm>
          <a:off x="111310" y="781048"/>
          <a:ext cx="13556369" cy="2794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¿Qué son las</a:t>
          </a:r>
          <a:r>
            <a:rPr lang="en-US" sz="1200" b="1" baseline="0">
              <a:latin typeface="Montserrat" panose="00000500000000000000" pitchFamily="2" charset="0"/>
            </a:rPr>
            <a:t> referencias?</a:t>
          </a:r>
          <a:endParaRPr lang="en-US" sz="1200" b="1">
            <a:latin typeface="Montserrat" panose="00000500000000000000" pitchFamily="2" charset="0"/>
          </a:endParaRPr>
        </a:p>
      </xdr:txBody>
    </xdr:sp>
    <xdr:clientData/>
  </xdr:twoCellAnchor>
  <xdr:twoCellAnchor editAs="oneCell">
    <xdr:from>
      <xdr:col>0</xdr:col>
      <xdr:colOff>100854</xdr:colOff>
      <xdr:row>5</xdr:row>
      <xdr:rowOff>56029</xdr:rowOff>
    </xdr:from>
    <xdr:to>
      <xdr:col>11</xdr:col>
      <xdr:colOff>300943</xdr:colOff>
      <xdr:row>7</xdr:row>
      <xdr:rowOff>134470</xdr:rowOff>
    </xdr:to>
    <xdr:sp macro="" textlink="">
      <xdr:nvSpPr>
        <xdr:cNvPr id="8" name="Rectángulo: esquinas redondeadas 7">
          <a:extLst>
            <a:ext uri="{FF2B5EF4-FFF2-40B4-BE49-F238E27FC236}">
              <a16:creationId xmlns:a16="http://schemas.microsoft.com/office/drawing/2014/main" id="{985C4379-AF1F-427D-9EDA-DF6DC39015E4}"/>
            </a:ext>
          </a:extLst>
        </xdr:cNvPr>
        <xdr:cNvSpPr/>
      </xdr:nvSpPr>
      <xdr:spPr>
        <a:xfrm>
          <a:off x="100854" y="1176617"/>
          <a:ext cx="13584768" cy="52667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Las referencias en Excel son una manera de señalar a celdas o rangos de celdas dentro de las hojas de cálculo. Se utilizan en fórmulas y funciones para especificar dónde Excel debe buscar los datos que necesita para realizar cálculos. Las referencias son fundamentales para la creación de fórmulas dinámicas que automáticamente se ajustan cuando los datos de la hoja de cálculo cambian.</a:t>
          </a:r>
        </a:p>
      </xdr:txBody>
    </xdr:sp>
    <xdr:clientData/>
  </xdr:twoCellAnchor>
  <xdr:twoCellAnchor editAs="oneCell">
    <xdr:from>
      <xdr:col>1</xdr:col>
      <xdr:colOff>11206</xdr:colOff>
      <xdr:row>9</xdr:row>
      <xdr:rowOff>19048</xdr:rowOff>
    </xdr:from>
    <xdr:to>
      <xdr:col>11</xdr:col>
      <xdr:colOff>268247</xdr:colOff>
      <xdr:row>10</xdr:row>
      <xdr:rowOff>61133</xdr:rowOff>
    </xdr:to>
    <xdr:sp macro="" textlink="">
      <xdr:nvSpPr>
        <xdr:cNvPr id="9" name="Rectángulo: esquinas redondeadas 8">
          <a:extLst>
            <a:ext uri="{FF2B5EF4-FFF2-40B4-BE49-F238E27FC236}">
              <a16:creationId xmlns:a16="http://schemas.microsoft.com/office/drawing/2014/main" id="{62682F8F-8CF5-4AB8-95E8-CE30D85C7D52}"/>
            </a:ext>
          </a:extLst>
        </xdr:cNvPr>
        <xdr:cNvSpPr/>
      </xdr:nvSpPr>
      <xdr:spPr>
        <a:xfrm>
          <a:off x="134471" y="2036107"/>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Relativas</a:t>
          </a:r>
        </a:p>
      </xdr:txBody>
    </xdr:sp>
    <xdr:clientData/>
  </xdr:twoCellAnchor>
  <xdr:twoCellAnchor editAs="oneCell">
    <xdr:from>
      <xdr:col>0</xdr:col>
      <xdr:colOff>85165</xdr:colOff>
      <xdr:row>10</xdr:row>
      <xdr:rowOff>163606</xdr:rowOff>
    </xdr:from>
    <xdr:to>
      <xdr:col>11</xdr:col>
      <xdr:colOff>282079</xdr:colOff>
      <xdr:row>13</xdr:row>
      <xdr:rowOff>17930</xdr:rowOff>
    </xdr:to>
    <xdr:sp macro="" textlink="">
      <xdr:nvSpPr>
        <xdr:cNvPr id="10" name="Rectángulo: esquinas redondeadas 9">
          <a:extLst>
            <a:ext uri="{FF2B5EF4-FFF2-40B4-BE49-F238E27FC236}">
              <a16:creationId xmlns:a16="http://schemas.microsoft.com/office/drawing/2014/main" id="{FEAC4E7F-21AD-4F98-AC47-6809640D789E}"/>
            </a:ext>
          </a:extLst>
        </xdr:cNvPr>
        <xdr:cNvSpPr/>
      </xdr:nvSpPr>
      <xdr:spPr>
        <a:xfrm>
          <a:off x="85165" y="2404782"/>
          <a:ext cx="13584768" cy="52667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Por defecto, todas las referencias en Excel son relativas. Esto significa que cuando copias una fórmula de una celda a otra, las referencias de celda dentro de la fórmula se ajustan basadas en la relación relativa entre la ubicación de la fórmula original y el nuevo lugar donde se copia. Este tipo de referencia es útil para replicar fórmulas a través de filas o columnas manteniendo una consistencia en el patrón de cálculo.</a:t>
          </a:r>
        </a:p>
      </xdr:txBody>
    </xdr:sp>
    <xdr:clientData/>
  </xdr:twoCellAnchor>
  <xdr:twoCellAnchor editAs="oneCell">
    <xdr:from>
      <xdr:col>0</xdr:col>
      <xdr:colOff>100104</xdr:colOff>
      <xdr:row>13</xdr:row>
      <xdr:rowOff>164725</xdr:rowOff>
    </xdr:from>
    <xdr:to>
      <xdr:col>11</xdr:col>
      <xdr:colOff>230145</xdr:colOff>
      <xdr:row>14</xdr:row>
      <xdr:rowOff>225050</xdr:rowOff>
    </xdr:to>
    <xdr:sp macro="" textlink="">
      <xdr:nvSpPr>
        <xdr:cNvPr id="11" name="Rectángulo: esquinas redondeadas 10">
          <a:extLst>
            <a:ext uri="{FF2B5EF4-FFF2-40B4-BE49-F238E27FC236}">
              <a16:creationId xmlns:a16="http://schemas.microsoft.com/office/drawing/2014/main" id="{4AA75993-62E8-4732-A027-8CD6EB0076AC}"/>
            </a:ext>
          </a:extLst>
        </xdr:cNvPr>
        <xdr:cNvSpPr/>
      </xdr:nvSpPr>
      <xdr:spPr>
        <a:xfrm>
          <a:off x="100104" y="3078254"/>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17930</xdr:colOff>
      <xdr:row>33</xdr:row>
      <xdr:rowOff>59390</xdr:rowOff>
    </xdr:from>
    <xdr:to>
      <xdr:col>11</xdr:col>
      <xdr:colOff>281321</xdr:colOff>
      <xdr:row>34</xdr:row>
      <xdr:rowOff>110999</xdr:rowOff>
    </xdr:to>
    <xdr:sp macro="" textlink="">
      <xdr:nvSpPr>
        <xdr:cNvPr id="15" name="Rectángulo: esquinas redondeadas 14">
          <a:extLst>
            <a:ext uri="{FF2B5EF4-FFF2-40B4-BE49-F238E27FC236}">
              <a16:creationId xmlns:a16="http://schemas.microsoft.com/office/drawing/2014/main" id="{ED16799F-9064-44D4-84EB-B606BB2478AC}"/>
            </a:ext>
          </a:extLst>
        </xdr:cNvPr>
        <xdr:cNvSpPr/>
      </xdr:nvSpPr>
      <xdr:spPr>
        <a:xfrm>
          <a:off x="141195" y="6782919"/>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Absolutas</a:t>
          </a:r>
        </a:p>
      </xdr:txBody>
    </xdr:sp>
    <xdr:clientData/>
  </xdr:twoCellAnchor>
  <xdr:twoCellAnchor editAs="oneCell">
    <xdr:from>
      <xdr:col>1</xdr:col>
      <xdr:colOff>24653</xdr:colOff>
      <xdr:row>34</xdr:row>
      <xdr:rowOff>203947</xdr:rowOff>
    </xdr:from>
    <xdr:to>
      <xdr:col>11</xdr:col>
      <xdr:colOff>341657</xdr:colOff>
      <xdr:row>37</xdr:row>
      <xdr:rowOff>58271</xdr:rowOff>
    </xdr:to>
    <xdr:sp macro="" textlink="">
      <xdr:nvSpPr>
        <xdr:cNvPr id="16" name="Rectángulo: esquinas redondeadas 15">
          <a:extLst>
            <a:ext uri="{FF2B5EF4-FFF2-40B4-BE49-F238E27FC236}">
              <a16:creationId xmlns:a16="http://schemas.microsoft.com/office/drawing/2014/main" id="{15A49B5B-2867-4FBB-B36E-72BDCA75D8F3}"/>
            </a:ext>
          </a:extLst>
        </xdr:cNvPr>
        <xdr:cNvSpPr/>
      </xdr:nvSpPr>
      <xdr:spPr>
        <a:xfrm>
          <a:off x="147918" y="7151594"/>
          <a:ext cx="13584768" cy="52667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Una referencia absoluta en Excel se crea al anteponer el signo de dólar ($) antes de la letra de la columna y/o el número de la fila en la referencia de celda ($A$1). Al copiar fórmulas que contienen referencias absolutas, estas no cambian, apuntando siempre a la misma celda específica. Son útiles cuando necesitas mantener constante una referencia a una celda específica en múltiples cálculos.</a:t>
          </a:r>
        </a:p>
      </xdr:txBody>
    </xdr:sp>
    <xdr:clientData/>
  </xdr:twoCellAnchor>
  <xdr:twoCellAnchor editAs="oneCell">
    <xdr:from>
      <xdr:col>1</xdr:col>
      <xdr:colOff>39592</xdr:colOff>
      <xdr:row>37</xdr:row>
      <xdr:rowOff>205066</xdr:rowOff>
    </xdr:from>
    <xdr:to>
      <xdr:col>11</xdr:col>
      <xdr:colOff>302423</xdr:colOff>
      <xdr:row>39</xdr:row>
      <xdr:rowOff>34924</xdr:rowOff>
    </xdr:to>
    <xdr:sp macro="" textlink="">
      <xdr:nvSpPr>
        <xdr:cNvPr id="20" name="Rectángulo: esquinas redondeadas 19">
          <a:extLst>
            <a:ext uri="{FF2B5EF4-FFF2-40B4-BE49-F238E27FC236}">
              <a16:creationId xmlns:a16="http://schemas.microsoft.com/office/drawing/2014/main" id="{B7AE9F92-CCB4-4275-89B0-C65A692EE632}"/>
            </a:ext>
          </a:extLst>
        </xdr:cNvPr>
        <xdr:cNvSpPr/>
      </xdr:nvSpPr>
      <xdr:spPr>
        <a:xfrm>
          <a:off x="162857" y="7825066"/>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91889</xdr:colOff>
      <xdr:row>57</xdr:row>
      <xdr:rowOff>178173</xdr:rowOff>
    </xdr:from>
    <xdr:to>
      <xdr:col>11</xdr:col>
      <xdr:colOff>225665</xdr:colOff>
      <xdr:row>58</xdr:row>
      <xdr:rowOff>226607</xdr:rowOff>
    </xdr:to>
    <xdr:sp macro="" textlink="">
      <xdr:nvSpPr>
        <xdr:cNvPr id="21" name="Rectángulo: esquinas redondeadas 20">
          <a:extLst>
            <a:ext uri="{FF2B5EF4-FFF2-40B4-BE49-F238E27FC236}">
              <a16:creationId xmlns:a16="http://schemas.microsoft.com/office/drawing/2014/main" id="{660FD364-CE22-4E82-812C-A6A5105A93DC}"/>
            </a:ext>
          </a:extLst>
        </xdr:cNvPr>
        <xdr:cNvSpPr/>
      </xdr:nvSpPr>
      <xdr:spPr>
        <a:xfrm>
          <a:off x="91889" y="13625232"/>
          <a:ext cx="13524805" cy="26620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Mixtas</a:t>
          </a:r>
        </a:p>
      </xdr:txBody>
    </xdr:sp>
    <xdr:clientData/>
  </xdr:twoCellAnchor>
  <xdr:twoCellAnchor editAs="oneCell">
    <xdr:from>
      <xdr:col>0</xdr:col>
      <xdr:colOff>98612</xdr:colOff>
      <xdr:row>59</xdr:row>
      <xdr:rowOff>98613</xdr:rowOff>
    </xdr:from>
    <xdr:to>
      <xdr:col>11</xdr:col>
      <xdr:colOff>301876</xdr:colOff>
      <xdr:row>62</xdr:row>
      <xdr:rowOff>110378</xdr:rowOff>
    </xdr:to>
    <xdr:sp macro="" textlink="">
      <xdr:nvSpPr>
        <xdr:cNvPr id="22" name="Rectángulo: esquinas redondeadas 21">
          <a:extLst>
            <a:ext uri="{FF2B5EF4-FFF2-40B4-BE49-F238E27FC236}">
              <a16:creationId xmlns:a16="http://schemas.microsoft.com/office/drawing/2014/main" id="{592A5169-075B-480E-A0F8-E318FE69B405}"/>
            </a:ext>
          </a:extLst>
        </xdr:cNvPr>
        <xdr:cNvSpPr/>
      </xdr:nvSpPr>
      <xdr:spPr>
        <a:xfrm>
          <a:off x="98612" y="13993907"/>
          <a:ext cx="13584768" cy="67459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Las referencias mixtas combinan aspectos de referencias relativas y absolutas. Puedes fijar la columna pero no la fila (por ejemplo, $A1), o fijar la fila pero no la columna (por ejemplo, A$1). Esto significa que parte de la referencia se ajustará de manera relativa al copiar la fórmula, mientras que la parte fija (columna o fila) permanecerá constante. Las referencias mixtas son útiles para cuando necesitas una flexibilidad intermedia en tus fórmulas, permitiendo que ciertos aspectos de la referencia cambien mientras otros permanecen fijos.</a:t>
          </a:r>
        </a:p>
      </xdr:txBody>
    </xdr:sp>
    <xdr:clientData/>
  </xdr:twoCellAnchor>
  <xdr:twoCellAnchor editAs="oneCell">
    <xdr:from>
      <xdr:col>1</xdr:col>
      <xdr:colOff>12698</xdr:colOff>
      <xdr:row>62</xdr:row>
      <xdr:rowOff>222995</xdr:rowOff>
    </xdr:from>
    <xdr:to>
      <xdr:col>11</xdr:col>
      <xdr:colOff>266004</xdr:colOff>
      <xdr:row>64</xdr:row>
      <xdr:rowOff>52853</xdr:rowOff>
    </xdr:to>
    <xdr:sp macro="" textlink="">
      <xdr:nvSpPr>
        <xdr:cNvPr id="23" name="Rectángulo: esquinas redondeadas 22">
          <a:extLst>
            <a:ext uri="{FF2B5EF4-FFF2-40B4-BE49-F238E27FC236}">
              <a16:creationId xmlns:a16="http://schemas.microsoft.com/office/drawing/2014/main" id="{74134ADF-3D50-4A96-A651-0972AB622A6C}"/>
            </a:ext>
          </a:extLst>
        </xdr:cNvPr>
        <xdr:cNvSpPr/>
      </xdr:nvSpPr>
      <xdr:spPr>
        <a:xfrm>
          <a:off x="135963" y="14790642"/>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82</xdr:row>
      <xdr:rowOff>0</xdr:rowOff>
    </xdr:from>
    <xdr:to>
      <xdr:col>11</xdr:col>
      <xdr:colOff>262831</xdr:colOff>
      <xdr:row>83</xdr:row>
      <xdr:rowOff>53975</xdr:rowOff>
    </xdr:to>
    <xdr:sp macro="" textlink="">
      <xdr:nvSpPr>
        <xdr:cNvPr id="24" name="Rectángulo: esquinas redondeadas 23">
          <a:extLst>
            <a:ext uri="{FF2B5EF4-FFF2-40B4-BE49-F238E27FC236}">
              <a16:creationId xmlns:a16="http://schemas.microsoft.com/office/drawing/2014/main" id="{236328CB-F4C5-44D5-9A72-B10E5AAE045D}"/>
            </a:ext>
          </a:extLst>
        </xdr:cNvPr>
        <xdr:cNvSpPr/>
      </xdr:nvSpPr>
      <xdr:spPr>
        <a:xfrm>
          <a:off x="123265" y="18377647"/>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84</xdr:row>
      <xdr:rowOff>0</xdr:rowOff>
    </xdr:from>
    <xdr:to>
      <xdr:col>11</xdr:col>
      <xdr:colOff>320179</xdr:colOff>
      <xdr:row>87</xdr:row>
      <xdr:rowOff>2240</xdr:rowOff>
    </xdr:to>
    <xdr:sp macro="" textlink="">
      <xdr:nvSpPr>
        <xdr:cNvPr id="25" name="Rectángulo: esquinas redondeadas 24">
          <a:extLst>
            <a:ext uri="{FF2B5EF4-FFF2-40B4-BE49-F238E27FC236}">
              <a16:creationId xmlns:a16="http://schemas.microsoft.com/office/drawing/2014/main" id="{06FB408B-2E50-4DF9-8EA6-2DB6CE7636BA}"/>
            </a:ext>
          </a:extLst>
        </xdr:cNvPr>
        <xdr:cNvSpPr/>
      </xdr:nvSpPr>
      <xdr:spPr>
        <a:xfrm>
          <a:off x="123265" y="18825882"/>
          <a:ext cx="13584768" cy="67459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Haz una fórmula con referencia mixta en la celda C90, de tal modo que al arrastrarla</a:t>
          </a:r>
          <a:r>
            <a:rPr lang="en-US" sz="1000" b="0" baseline="0">
              <a:solidFill>
                <a:schemeClr val="tx1"/>
              </a:solidFill>
              <a:latin typeface="Montserrat" panose="00000500000000000000" pitchFamily="2" charset="0"/>
              <a:ea typeface="+mn-ea"/>
              <a:cs typeface="+mn-cs"/>
            </a:rPr>
            <a:t> hacia la derecha y hacia abajo se multipliquen los encabezados de fila y los encabezados de columna correspondientes (sólo se deben de multiplicar las coordenadas que están en azul). Por ejemplo, la celda G92 debería de multiplicar 120*80 (G89 * B92).</a:t>
          </a:r>
          <a:endParaRPr lang="en-US" sz="1000" b="0">
            <a:solidFill>
              <a:schemeClr val="tx1"/>
            </a:solidFill>
            <a:latin typeface="Montserrat" panose="00000500000000000000" pitchFamily="2" charset="0"/>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0</xdr:row>
      <xdr:rowOff>104775</xdr:rowOff>
    </xdr:from>
    <xdr:to>
      <xdr:col>13</xdr:col>
      <xdr:colOff>264584</xdr:colOff>
      <xdr:row>2</xdr:row>
      <xdr:rowOff>180975</xdr:rowOff>
    </xdr:to>
    <xdr:grpSp>
      <xdr:nvGrpSpPr>
        <xdr:cNvPr id="2" name="Grupo 1">
          <a:extLst>
            <a:ext uri="{FF2B5EF4-FFF2-40B4-BE49-F238E27FC236}">
              <a16:creationId xmlns:a16="http://schemas.microsoft.com/office/drawing/2014/main" id="{A4F90D73-4C14-4B19-B530-181D29EA5B06}"/>
            </a:ext>
          </a:extLst>
        </xdr:cNvPr>
        <xdr:cNvGrpSpPr/>
      </xdr:nvGrpSpPr>
      <xdr:grpSpPr>
        <a:xfrm>
          <a:off x="121583" y="104775"/>
          <a:ext cx="12323795" cy="434788"/>
          <a:chOff x="136524" y="104775"/>
          <a:chExt cx="13664143" cy="541867"/>
        </a:xfrm>
      </xdr:grpSpPr>
      <xdr:sp macro="" textlink="">
        <xdr:nvSpPr>
          <xdr:cNvPr id="3" name="Rectángulo: esquinas redondeadas 2">
            <a:extLst>
              <a:ext uri="{FF2B5EF4-FFF2-40B4-BE49-F238E27FC236}">
                <a16:creationId xmlns:a16="http://schemas.microsoft.com/office/drawing/2014/main" id="{3496EE7C-7CBB-D012-9231-8F289FCA542E}"/>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 name="CuadroTexto 3">
            <a:extLst>
              <a:ext uri="{FF2B5EF4-FFF2-40B4-BE49-F238E27FC236}">
                <a16:creationId xmlns:a16="http://schemas.microsoft.com/office/drawing/2014/main" id="{EF90FC3A-836E-35B5-9518-B5A329FD45D6}"/>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NOMBRAR</a:t>
            </a:r>
            <a:r>
              <a:rPr lang="en-US" sz="2400" b="0" baseline="0">
                <a:solidFill>
                  <a:schemeClr val="bg1"/>
                </a:solidFill>
                <a:latin typeface="Montserrat" panose="00000500000000000000" pitchFamily="2" charset="0"/>
              </a:rPr>
              <a:t> RANGOS</a:t>
            </a:r>
            <a:endParaRPr lang="en-US" sz="2400" b="0">
              <a:solidFill>
                <a:schemeClr val="bg1"/>
              </a:solidFill>
              <a:latin typeface="Montserrat" panose="00000500000000000000" pitchFamily="2" charset="0"/>
            </a:endParaRPr>
          </a:p>
        </xdr:txBody>
      </xdr:sp>
      <xdr:pic>
        <xdr:nvPicPr>
          <xdr:cNvPr id="5" name="Gráfico 4" descr="Search Inventory con relleno sólido">
            <a:extLst>
              <a:ext uri="{FF2B5EF4-FFF2-40B4-BE49-F238E27FC236}">
                <a16:creationId xmlns:a16="http://schemas.microsoft.com/office/drawing/2014/main" id="{C72BC364-243B-036D-F94A-95ED3F0ECF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6" name="Gráfico 5" descr="Circle with left arrow con relleno sólido">
            <a:hlinkClick xmlns:r="http://schemas.openxmlformats.org/officeDocument/2006/relationships" r:id="rId3"/>
            <a:extLst>
              <a:ext uri="{FF2B5EF4-FFF2-40B4-BE49-F238E27FC236}">
                <a16:creationId xmlns:a16="http://schemas.microsoft.com/office/drawing/2014/main" id="{640E28AE-C7E1-A6DD-215A-9ECACD6F37D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0</xdr:col>
      <xdr:colOff>111310</xdr:colOff>
      <xdr:row>3</xdr:row>
      <xdr:rowOff>95248</xdr:rowOff>
    </xdr:from>
    <xdr:to>
      <xdr:col>12</xdr:col>
      <xdr:colOff>936115</xdr:colOff>
      <xdr:row>4</xdr:row>
      <xdr:rowOff>149223</xdr:rowOff>
    </xdr:to>
    <xdr:sp macro="" textlink="">
      <xdr:nvSpPr>
        <xdr:cNvPr id="7" name="Rectángulo: esquinas redondeadas 6">
          <a:extLst>
            <a:ext uri="{FF2B5EF4-FFF2-40B4-BE49-F238E27FC236}">
              <a16:creationId xmlns:a16="http://schemas.microsoft.com/office/drawing/2014/main" id="{6CC47DCC-5E67-45B3-94D0-A2F60769B173}"/>
            </a:ext>
          </a:extLst>
        </xdr:cNvPr>
        <xdr:cNvSpPr/>
      </xdr:nvSpPr>
      <xdr:spPr>
        <a:xfrm>
          <a:off x="111310" y="781048"/>
          <a:ext cx="13563652" cy="2794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¿Qué son</a:t>
          </a:r>
          <a:r>
            <a:rPr lang="en-US" sz="1200" b="1" baseline="0">
              <a:latin typeface="Montserrat" panose="00000500000000000000" pitchFamily="2" charset="0"/>
            </a:rPr>
            <a:t> los rangos nombrados?</a:t>
          </a:r>
          <a:endParaRPr lang="en-US" sz="1200" b="1">
            <a:latin typeface="Montserrat" panose="00000500000000000000" pitchFamily="2" charset="0"/>
          </a:endParaRPr>
        </a:p>
      </xdr:txBody>
    </xdr:sp>
    <xdr:clientData/>
  </xdr:twoCellAnchor>
  <xdr:twoCellAnchor editAs="oneCell">
    <xdr:from>
      <xdr:col>0</xdr:col>
      <xdr:colOff>100854</xdr:colOff>
      <xdr:row>5</xdr:row>
      <xdr:rowOff>56030</xdr:rowOff>
    </xdr:from>
    <xdr:to>
      <xdr:col>13</xdr:col>
      <xdr:colOff>3240</xdr:colOff>
      <xdr:row>8</xdr:row>
      <xdr:rowOff>1</xdr:rowOff>
    </xdr:to>
    <xdr:sp macro="" textlink="">
      <xdr:nvSpPr>
        <xdr:cNvPr id="8" name="Rectángulo: esquinas redondeadas 7">
          <a:extLst>
            <a:ext uri="{FF2B5EF4-FFF2-40B4-BE49-F238E27FC236}">
              <a16:creationId xmlns:a16="http://schemas.microsoft.com/office/drawing/2014/main" id="{0A6B8F97-84EB-4E17-AD06-BB958FAEECCB}"/>
            </a:ext>
          </a:extLst>
        </xdr:cNvPr>
        <xdr:cNvSpPr/>
      </xdr:nvSpPr>
      <xdr:spPr>
        <a:xfrm>
          <a:off x="100854" y="1176618"/>
          <a:ext cx="13584768" cy="61632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Los rangos nombrados en Excel son una característica que permite asignar un nombre descriptivo a una celda individual, un grupo de celdas, una fórmula o una constante. En lugar de referirse a una celda o rango por su dirección convencional (como A1 o A1:B2), puedes usar un nombre fácil de recordar, como "VentasAnuales" o "TasaImpuesto".</a:t>
          </a:r>
        </a:p>
      </xdr:txBody>
    </xdr:sp>
    <xdr:clientData/>
  </xdr:twoCellAnchor>
  <xdr:twoCellAnchor editAs="oneCell">
    <xdr:from>
      <xdr:col>1</xdr:col>
      <xdr:colOff>11206</xdr:colOff>
      <xdr:row>22</xdr:row>
      <xdr:rowOff>19048</xdr:rowOff>
    </xdr:from>
    <xdr:to>
      <xdr:col>12</xdr:col>
      <xdr:colOff>969361</xdr:colOff>
      <xdr:row>23</xdr:row>
      <xdr:rowOff>61132</xdr:rowOff>
    </xdr:to>
    <xdr:sp macro="" textlink="">
      <xdr:nvSpPr>
        <xdr:cNvPr id="9" name="Rectángulo: esquinas redondeadas 8">
          <a:extLst>
            <a:ext uri="{FF2B5EF4-FFF2-40B4-BE49-F238E27FC236}">
              <a16:creationId xmlns:a16="http://schemas.microsoft.com/office/drawing/2014/main" id="{6F1397B6-6844-4471-AB98-BE95D6AB84DA}"/>
            </a:ext>
          </a:extLst>
        </xdr:cNvPr>
        <xdr:cNvSpPr/>
      </xdr:nvSpPr>
      <xdr:spPr>
        <a:xfrm>
          <a:off x="135031" y="3448048"/>
          <a:ext cx="13566827" cy="27068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88898</xdr:colOff>
      <xdr:row>8</xdr:row>
      <xdr:rowOff>164725</xdr:rowOff>
    </xdr:from>
    <xdr:to>
      <xdr:col>12</xdr:col>
      <xdr:colOff>913703</xdr:colOff>
      <xdr:row>9</xdr:row>
      <xdr:rowOff>225050</xdr:rowOff>
    </xdr:to>
    <xdr:sp macro="" textlink="">
      <xdr:nvSpPr>
        <xdr:cNvPr id="13" name="Rectángulo: esquinas redondeadas 12">
          <a:extLst>
            <a:ext uri="{FF2B5EF4-FFF2-40B4-BE49-F238E27FC236}">
              <a16:creationId xmlns:a16="http://schemas.microsoft.com/office/drawing/2014/main" id="{BDB4DF54-87C6-4D07-A105-9DB8F5C49265}"/>
            </a:ext>
          </a:extLst>
        </xdr:cNvPr>
        <xdr:cNvSpPr/>
      </xdr:nvSpPr>
      <xdr:spPr>
        <a:xfrm>
          <a:off x="88898" y="1957666"/>
          <a:ext cx="13521070" cy="27491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Herramientas importantes</a:t>
          </a:r>
        </a:p>
      </xdr:txBody>
    </xdr:sp>
    <xdr:clientData/>
  </xdr:twoCellAnchor>
  <xdr:twoCellAnchor editAs="oneCell">
    <xdr:from>
      <xdr:col>0</xdr:col>
      <xdr:colOff>78442</xdr:colOff>
      <xdr:row>10</xdr:row>
      <xdr:rowOff>125506</xdr:rowOff>
    </xdr:from>
    <xdr:to>
      <xdr:col>12</xdr:col>
      <xdr:colOff>966945</xdr:colOff>
      <xdr:row>13</xdr:row>
      <xdr:rowOff>92821</xdr:rowOff>
    </xdr:to>
    <xdr:sp macro="" textlink="">
      <xdr:nvSpPr>
        <xdr:cNvPr id="14" name="Rectángulo: esquinas redondeadas 13">
          <a:extLst>
            <a:ext uri="{FF2B5EF4-FFF2-40B4-BE49-F238E27FC236}">
              <a16:creationId xmlns:a16="http://schemas.microsoft.com/office/drawing/2014/main" id="{F69BA8E5-9C8C-4394-9BAC-300A0876FA5D}"/>
            </a:ext>
          </a:extLst>
        </xdr:cNvPr>
        <xdr:cNvSpPr/>
      </xdr:nvSpPr>
      <xdr:spPr>
        <a:xfrm>
          <a:off x="78442" y="2366682"/>
          <a:ext cx="13584768" cy="63649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El </a:t>
          </a:r>
          <a:r>
            <a:rPr lang="en-US" sz="1000" b="1">
              <a:solidFill>
                <a:schemeClr val="tx1"/>
              </a:solidFill>
              <a:latin typeface="Montserrat" panose="00000500000000000000" pitchFamily="2" charset="0"/>
              <a:ea typeface="+mn-ea"/>
              <a:cs typeface="+mn-cs"/>
            </a:rPr>
            <a:t>Cuadro de Nombres </a:t>
          </a:r>
          <a:r>
            <a:rPr lang="en-US" sz="1000" b="0">
              <a:solidFill>
                <a:schemeClr val="tx1"/>
              </a:solidFill>
              <a:latin typeface="Montserrat" panose="00000500000000000000" pitchFamily="2" charset="0"/>
              <a:ea typeface="+mn-ea"/>
              <a:cs typeface="+mn-cs"/>
            </a:rPr>
            <a:t>en Excel es una característica ubicada arriba de la columna A, que sirve para varias funciones clave. Principalmente, permite a los usuarios navegar rápidamente a una celda o rango específico ingresando su dirección. También es muy útil para identificar, acceder y crear rangos nombrados. Al seleccionar un rango y escribir un nombre en este cuadro, se puede asignar un nombre descriptivo al rango seleccionado, facilitando su referencia en fórmulas y funciones. Esta característica agiliza la navegación y mejora la gestión de datos dentro de las hojas de cálculo de Excel.</a:t>
          </a:r>
        </a:p>
      </xdr:txBody>
    </xdr:sp>
    <xdr:clientData/>
  </xdr:twoCellAnchor>
  <xdr:twoCellAnchor editAs="oneCell">
    <xdr:from>
      <xdr:col>0</xdr:col>
      <xdr:colOff>73960</xdr:colOff>
      <xdr:row>14</xdr:row>
      <xdr:rowOff>64994</xdr:rowOff>
    </xdr:from>
    <xdr:to>
      <xdr:col>12</xdr:col>
      <xdr:colOff>968813</xdr:colOff>
      <xdr:row>17</xdr:row>
      <xdr:rowOff>35484</xdr:rowOff>
    </xdr:to>
    <xdr:sp macro="" textlink="">
      <xdr:nvSpPr>
        <xdr:cNvPr id="15" name="Rectángulo: esquinas redondeadas 14">
          <a:extLst>
            <a:ext uri="{FF2B5EF4-FFF2-40B4-BE49-F238E27FC236}">
              <a16:creationId xmlns:a16="http://schemas.microsoft.com/office/drawing/2014/main" id="{BA412828-C07C-4FBC-928A-F2695FECBAAE}"/>
            </a:ext>
          </a:extLst>
        </xdr:cNvPr>
        <xdr:cNvSpPr/>
      </xdr:nvSpPr>
      <xdr:spPr>
        <a:xfrm>
          <a:off x="73960" y="3202641"/>
          <a:ext cx="13584768" cy="63649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El </a:t>
          </a:r>
          <a:r>
            <a:rPr lang="en-US" sz="1000" b="1">
              <a:solidFill>
                <a:schemeClr val="tx1"/>
              </a:solidFill>
              <a:latin typeface="Montserrat" panose="00000500000000000000" pitchFamily="2" charset="0"/>
              <a:ea typeface="+mn-ea"/>
              <a:cs typeface="+mn-cs"/>
            </a:rPr>
            <a:t>Administrador de Nombres </a:t>
          </a:r>
          <a:r>
            <a:rPr lang="en-US" sz="1000" b="0">
              <a:solidFill>
                <a:schemeClr val="tx1"/>
              </a:solidFill>
              <a:latin typeface="Montserrat" panose="00000500000000000000" pitchFamily="2" charset="0"/>
              <a:ea typeface="+mn-ea"/>
              <a:cs typeface="+mn-cs"/>
            </a:rPr>
            <a:t>es una herramienta integral en Excel diseñada para gestionar todos los nombres definidos dentro de un libro de trabajo. A través de esta herramienta, los usuarios pueden crear nuevos nombres para rangos de celdas, editar nombres existentes, eliminar nombres que ya no se necesitan y buscar nombres específicos para ver a qué celdas se refieren. Es especialmente útil en libros de trabajo complejos donde se utilizan múltiples nombres, ya que proporciona una visión clara y organizada de todos los nombres, sus referencias y dónde se utilizan en el libro.</a:t>
          </a:r>
        </a:p>
      </xdr:txBody>
    </xdr:sp>
    <xdr:clientData/>
  </xdr:twoCellAnchor>
  <xdr:twoCellAnchor editAs="oneCell">
    <xdr:from>
      <xdr:col>0</xdr:col>
      <xdr:colOff>80684</xdr:colOff>
      <xdr:row>18</xdr:row>
      <xdr:rowOff>4482</xdr:rowOff>
    </xdr:from>
    <xdr:to>
      <xdr:col>12</xdr:col>
      <xdr:colOff>969187</xdr:colOff>
      <xdr:row>20</xdr:row>
      <xdr:rowOff>192740</xdr:rowOff>
    </xdr:to>
    <xdr:sp macro="" textlink="">
      <xdr:nvSpPr>
        <xdr:cNvPr id="16" name="Rectángulo: esquinas redondeadas 15">
          <a:extLst>
            <a:ext uri="{FF2B5EF4-FFF2-40B4-BE49-F238E27FC236}">
              <a16:creationId xmlns:a16="http://schemas.microsoft.com/office/drawing/2014/main" id="{22E062B9-4EB9-40EF-A9A6-3218CD85D76C}"/>
            </a:ext>
          </a:extLst>
        </xdr:cNvPr>
        <xdr:cNvSpPr/>
      </xdr:nvSpPr>
      <xdr:spPr>
        <a:xfrm>
          <a:off x="80684" y="4038600"/>
          <a:ext cx="13584768" cy="63649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a:solidFill>
                <a:schemeClr val="tx1"/>
              </a:solidFill>
              <a:latin typeface="Montserrat" panose="00000500000000000000" pitchFamily="2" charset="0"/>
              <a:ea typeface="+mn-ea"/>
              <a:cs typeface="+mn-cs"/>
            </a:rPr>
            <a:t>La función </a:t>
          </a:r>
          <a:r>
            <a:rPr lang="en-US" sz="1000" b="1">
              <a:solidFill>
                <a:schemeClr val="tx1"/>
              </a:solidFill>
              <a:latin typeface="Montserrat" panose="00000500000000000000" pitchFamily="2" charset="0"/>
              <a:ea typeface="+mn-ea"/>
              <a:cs typeface="+mn-cs"/>
            </a:rPr>
            <a:t>Crear desde la Selección </a:t>
          </a:r>
          <a:r>
            <a:rPr lang="en-US" sz="1000" b="0">
              <a:solidFill>
                <a:schemeClr val="tx1"/>
              </a:solidFill>
              <a:latin typeface="Montserrat" panose="00000500000000000000" pitchFamily="2" charset="0"/>
              <a:ea typeface="+mn-ea"/>
              <a:cs typeface="+mn-cs"/>
            </a:rPr>
            <a:t>en Excel simplifica el proceso de nombrar rangos basándose en los datos de la hoja de cálculo. Al seleccionar un rango que incluye datos junto con sus encabezados correspondientes y utilizar esta función, Excel automáticamente asigna los nombres de los encabezados a los rangos de datos correspondientes. Esto es particularmente útil para asignar nombres descriptivos a varios rangos de manera rápida y precisa, basándose en los encabezados de columnas o filas existentes, mejorando la legibilidad y la facilidad de uso de las fórmulas que se refieren a estos rangos.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778051</xdr:colOff>
      <xdr:row>4</xdr:row>
      <xdr:rowOff>187325</xdr:rowOff>
    </xdr:to>
    <xdr:sp macro="" textlink="">
      <xdr:nvSpPr>
        <xdr:cNvPr id="2" name="Rectángulo: esquinas redondeadas 1">
          <a:extLst>
            <a:ext uri="{FF2B5EF4-FFF2-40B4-BE49-F238E27FC236}">
              <a16:creationId xmlns:a16="http://schemas.microsoft.com/office/drawing/2014/main" id="{B11463EE-1A5B-4610-B9CC-EF3E8243F50B}"/>
            </a:ext>
          </a:extLst>
        </xdr:cNvPr>
        <xdr:cNvSpPr/>
      </xdr:nvSpPr>
      <xdr:spPr>
        <a:xfrm>
          <a:off x="123824" y="8191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64860</xdr:rowOff>
    </xdr:from>
    <xdr:to>
      <xdr:col>8</xdr:col>
      <xdr:colOff>821266</xdr:colOff>
      <xdr:row>7</xdr:row>
      <xdr:rowOff>225424</xdr:rowOff>
    </xdr:to>
    <xdr:sp macro="" textlink="">
      <xdr:nvSpPr>
        <xdr:cNvPr id="3" name="Rectángulo: esquinas redondeadas 2">
          <a:extLst>
            <a:ext uri="{FF2B5EF4-FFF2-40B4-BE49-F238E27FC236}">
              <a16:creationId xmlns:a16="http://schemas.microsoft.com/office/drawing/2014/main" id="{2BBD4A5B-9164-4A5E-853A-0FCB867A5D93}"/>
            </a:ext>
          </a:extLst>
        </xdr:cNvPr>
        <xdr:cNvSpPr/>
      </xdr:nvSpPr>
      <xdr:spPr>
        <a:xfrm>
          <a:off x="155573" y="1207860"/>
          <a:ext cx="13586885" cy="61458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CONCAT (introducida en Excel 2016 como reemplazo de las funciones CONCATENAR y CONCATENATE en inglés) </a:t>
          </a:r>
          <a:r>
            <a:rPr lang="en-US" sz="1000" b="0">
              <a:solidFill>
                <a:schemeClr val="tx1"/>
              </a:solidFill>
              <a:latin typeface="Montserrat" panose="00000500000000000000" pitchFamily="2" charset="0"/>
              <a:ea typeface="+mn-ea"/>
              <a:cs typeface="+mn-cs"/>
            </a:rPr>
            <a:t>combina el texto de varias celdas, rangos o cadenas en una sola cadena. A diferencia de CONCATENAR, CONCAT puede tomar un rango completo como argumento, facilitando la unión de múltiples celdas sin necesidad de referenciar cada celda individualmente.</a:t>
          </a:r>
        </a:p>
      </xdr:txBody>
    </xdr:sp>
    <xdr:clientData/>
  </xdr:twoCellAnchor>
  <xdr:twoCellAnchor editAs="oneCell">
    <xdr:from>
      <xdr:col>0</xdr:col>
      <xdr:colOff>123824</xdr:colOff>
      <xdr:row>8</xdr:row>
      <xdr:rowOff>152400</xdr:rowOff>
    </xdr:from>
    <xdr:to>
      <xdr:col>8</xdr:col>
      <xdr:colOff>778051</xdr:colOff>
      <xdr:row>9</xdr:row>
      <xdr:rowOff>206375</xdr:rowOff>
    </xdr:to>
    <xdr:sp macro="" textlink="">
      <xdr:nvSpPr>
        <xdr:cNvPr id="4" name="Rectángulo: esquinas redondeadas 3">
          <a:extLst>
            <a:ext uri="{FF2B5EF4-FFF2-40B4-BE49-F238E27FC236}">
              <a16:creationId xmlns:a16="http://schemas.microsoft.com/office/drawing/2014/main" id="{C3A70D63-46B8-4BFD-85D0-4BFCBBA88AC1}"/>
            </a:ext>
          </a:extLst>
        </xdr:cNvPr>
        <xdr:cNvSpPr/>
      </xdr:nvSpPr>
      <xdr:spPr>
        <a:xfrm>
          <a:off x="123824" y="198120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778051</xdr:colOff>
      <xdr:row>18</xdr:row>
      <xdr:rowOff>73025</xdr:rowOff>
    </xdr:to>
    <xdr:sp macro="" textlink="">
      <xdr:nvSpPr>
        <xdr:cNvPr id="5" name="Rectángulo: esquinas redondeadas 4">
          <a:extLst>
            <a:ext uri="{FF2B5EF4-FFF2-40B4-BE49-F238E27FC236}">
              <a16:creationId xmlns:a16="http://schemas.microsoft.com/office/drawing/2014/main" id="{47267761-87D5-4897-9861-F637757F4B3F}"/>
            </a:ext>
          </a:extLst>
        </xdr:cNvPr>
        <xdr:cNvSpPr/>
      </xdr:nvSpPr>
      <xdr:spPr>
        <a:xfrm>
          <a:off x="123824" y="39052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9524</xdr:colOff>
      <xdr:row>0</xdr:row>
      <xdr:rowOff>104775</xdr:rowOff>
    </xdr:from>
    <xdr:to>
      <xdr:col>8</xdr:col>
      <xdr:colOff>872067</xdr:colOff>
      <xdr:row>2</xdr:row>
      <xdr:rowOff>206375</xdr:rowOff>
    </xdr:to>
    <xdr:grpSp>
      <xdr:nvGrpSpPr>
        <xdr:cNvPr id="8" name="Grupo 7">
          <a:extLst>
            <a:ext uri="{FF2B5EF4-FFF2-40B4-BE49-F238E27FC236}">
              <a16:creationId xmlns:a16="http://schemas.microsoft.com/office/drawing/2014/main" id="{27657F46-220D-4B14-A73D-E7DD4A99420D}"/>
            </a:ext>
          </a:extLst>
        </xdr:cNvPr>
        <xdr:cNvGrpSpPr/>
      </xdr:nvGrpSpPr>
      <xdr:grpSpPr>
        <a:xfrm>
          <a:off x="125941" y="104775"/>
          <a:ext cx="12250209" cy="432858"/>
          <a:chOff x="136524" y="104775"/>
          <a:chExt cx="13664143" cy="541867"/>
        </a:xfrm>
      </xdr:grpSpPr>
      <xdr:sp macro="" textlink="">
        <xdr:nvSpPr>
          <xdr:cNvPr id="9" name="Rectángulo: esquinas redondeadas 8">
            <a:extLst>
              <a:ext uri="{FF2B5EF4-FFF2-40B4-BE49-F238E27FC236}">
                <a16:creationId xmlns:a16="http://schemas.microsoft.com/office/drawing/2014/main" id="{ED05F58D-E92D-DFD1-3086-5D639882A7AB}"/>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CEBBA552-179E-1886-4C4A-ABCC919BF633}"/>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CONCAT</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B6E0171C-D1E4-4BD8-25DD-1BA31EFD0F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46</xdr:row>
      <xdr:rowOff>28575</xdr:rowOff>
    </xdr:from>
    <xdr:to>
      <xdr:col>8</xdr:col>
      <xdr:colOff>816152</xdr:colOff>
      <xdr:row>47</xdr:row>
      <xdr:rowOff>76198</xdr:rowOff>
    </xdr:to>
    <xdr:sp macro="" textlink="">
      <xdr:nvSpPr>
        <xdr:cNvPr id="12" name="Rectángulo: esquinas redondeadas 11">
          <a:extLst>
            <a:ext uri="{FF2B5EF4-FFF2-40B4-BE49-F238E27FC236}">
              <a16:creationId xmlns:a16="http://schemas.microsoft.com/office/drawing/2014/main" id="{F8EEB94D-73E2-4B83-99CB-B66C6118195F}"/>
            </a:ext>
          </a:extLst>
        </xdr:cNvPr>
        <xdr:cNvSpPr/>
      </xdr:nvSpPr>
      <xdr:spPr>
        <a:xfrm>
          <a:off x="152400" y="15344775"/>
          <a:ext cx="13581769"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47</xdr:row>
      <xdr:rowOff>161925</xdr:rowOff>
    </xdr:from>
    <xdr:to>
      <xdr:col>8</xdr:col>
      <xdr:colOff>853017</xdr:colOff>
      <xdr:row>50</xdr:row>
      <xdr:rowOff>151342</xdr:rowOff>
    </xdr:to>
    <xdr:sp macro="" textlink="">
      <xdr:nvSpPr>
        <xdr:cNvPr id="13" name="Rectángulo: esquinas redondeadas 12">
          <a:extLst>
            <a:ext uri="{FF2B5EF4-FFF2-40B4-BE49-F238E27FC236}">
              <a16:creationId xmlns:a16="http://schemas.microsoft.com/office/drawing/2014/main" id="{4D14AF5C-8C87-4644-BF60-084E514E9885}"/>
            </a:ext>
          </a:extLst>
        </xdr:cNvPr>
        <xdr:cNvSpPr/>
      </xdr:nvSpPr>
      <xdr:spPr>
        <a:xfrm>
          <a:off x="187324" y="15994592"/>
          <a:ext cx="13584768" cy="6879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MAYUSC (UPPER en inglés) </a:t>
          </a:r>
          <a:r>
            <a:rPr lang="en-US" sz="1000" b="0">
              <a:solidFill>
                <a:schemeClr val="tx1"/>
              </a:solidFill>
              <a:latin typeface="Montserrat" panose="00000500000000000000" pitchFamily="2" charset="0"/>
              <a:ea typeface="+mn-ea"/>
              <a:cs typeface="+mn-cs"/>
            </a:rPr>
            <a:t>convierte todas las letras en una cadena de texto a mayúsculas. Es útil para estandarizar datos de texto, especialmente cuando los datos ingresados pueden tener inconsistencias en el uso de mayúsculas y minúsculas.</a:t>
          </a:r>
        </a:p>
      </xdr:txBody>
    </xdr:sp>
    <xdr:clientData/>
  </xdr:twoCellAnchor>
  <xdr:twoCellAnchor editAs="oneCell">
    <xdr:from>
      <xdr:col>1</xdr:col>
      <xdr:colOff>14817</xdr:colOff>
      <xdr:row>51</xdr:row>
      <xdr:rowOff>65616</xdr:rowOff>
    </xdr:from>
    <xdr:to>
      <xdr:col>8</xdr:col>
      <xdr:colOff>815094</xdr:colOff>
      <xdr:row>52</xdr:row>
      <xdr:rowOff>111125</xdr:rowOff>
    </xdr:to>
    <xdr:sp macro="" textlink="">
      <xdr:nvSpPr>
        <xdr:cNvPr id="14" name="Rectángulo: esquinas redondeadas 13">
          <a:extLst>
            <a:ext uri="{FF2B5EF4-FFF2-40B4-BE49-F238E27FC236}">
              <a16:creationId xmlns:a16="http://schemas.microsoft.com/office/drawing/2014/main" id="{53BC5845-6E62-4CB7-9AAE-FC83CE71296E}"/>
            </a:ext>
          </a:extLst>
        </xdr:cNvPr>
        <xdr:cNvSpPr/>
      </xdr:nvSpPr>
      <xdr:spPr>
        <a:xfrm>
          <a:off x="138642" y="16524816"/>
          <a:ext cx="13588119" cy="26775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59</xdr:row>
      <xdr:rowOff>147108</xdr:rowOff>
    </xdr:from>
    <xdr:to>
      <xdr:col>8</xdr:col>
      <xdr:colOff>816152</xdr:colOff>
      <xdr:row>60</xdr:row>
      <xdr:rowOff>191559</xdr:rowOff>
    </xdr:to>
    <xdr:sp macro="" textlink="">
      <xdr:nvSpPr>
        <xdr:cNvPr id="15" name="Rectángulo: esquinas redondeadas 14">
          <a:extLst>
            <a:ext uri="{FF2B5EF4-FFF2-40B4-BE49-F238E27FC236}">
              <a16:creationId xmlns:a16="http://schemas.microsoft.com/office/drawing/2014/main" id="{D5DA79D1-65FB-47E9-841C-7F847C639204}"/>
            </a:ext>
          </a:extLst>
        </xdr:cNvPr>
        <xdr:cNvSpPr/>
      </xdr:nvSpPr>
      <xdr:spPr>
        <a:xfrm>
          <a:off x="152400" y="18435108"/>
          <a:ext cx="13581769" cy="2730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44450</xdr:colOff>
      <xdr:row>43</xdr:row>
      <xdr:rowOff>0</xdr:rowOff>
    </xdr:from>
    <xdr:to>
      <xdr:col>8</xdr:col>
      <xdr:colOff>929218</xdr:colOff>
      <xdr:row>45</xdr:row>
      <xdr:rowOff>73025</xdr:rowOff>
    </xdr:to>
    <xdr:grpSp>
      <xdr:nvGrpSpPr>
        <xdr:cNvPr id="18" name="Grupo 17">
          <a:extLst>
            <a:ext uri="{FF2B5EF4-FFF2-40B4-BE49-F238E27FC236}">
              <a16:creationId xmlns:a16="http://schemas.microsoft.com/office/drawing/2014/main" id="{C512052D-3066-4632-BF23-B01313F2EF22}"/>
            </a:ext>
          </a:extLst>
        </xdr:cNvPr>
        <xdr:cNvGrpSpPr/>
      </xdr:nvGrpSpPr>
      <xdr:grpSpPr>
        <a:xfrm>
          <a:off x="160867" y="7757583"/>
          <a:ext cx="12272434" cy="432859"/>
          <a:chOff x="136524" y="104775"/>
          <a:chExt cx="13664143" cy="541867"/>
        </a:xfrm>
      </xdr:grpSpPr>
      <xdr:sp macro="" textlink="">
        <xdr:nvSpPr>
          <xdr:cNvPr id="19" name="Rectángulo: esquinas redondeadas 18">
            <a:extLst>
              <a:ext uri="{FF2B5EF4-FFF2-40B4-BE49-F238E27FC236}">
                <a16:creationId xmlns:a16="http://schemas.microsoft.com/office/drawing/2014/main" id="{67FC74BF-C318-C7C1-EDE5-59A7D0A149B9}"/>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0858CAB9-3999-6001-542C-C39070294C2F}"/>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MAYUSC</a:t>
            </a:r>
          </a:p>
        </xdr:txBody>
      </xdr:sp>
      <xdr:pic>
        <xdr:nvPicPr>
          <xdr:cNvPr id="21" name="Gráfico 20" descr="Search Inventory con relleno sólido">
            <a:extLst>
              <a:ext uri="{FF2B5EF4-FFF2-40B4-BE49-F238E27FC236}">
                <a16:creationId xmlns:a16="http://schemas.microsoft.com/office/drawing/2014/main" id="{1C63CDC3-35AB-B633-013E-9E54E400BD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0BBD40F4-9416-69BE-2EBB-EB9AD43185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87</xdr:row>
      <xdr:rowOff>197908</xdr:rowOff>
    </xdr:from>
    <xdr:to>
      <xdr:col>8</xdr:col>
      <xdr:colOff>817210</xdr:colOff>
      <xdr:row>89</xdr:row>
      <xdr:rowOff>1763</xdr:rowOff>
    </xdr:to>
    <xdr:sp macro="" textlink="">
      <xdr:nvSpPr>
        <xdr:cNvPr id="23" name="Rectángulo: esquinas redondeadas 22">
          <a:extLst>
            <a:ext uri="{FF2B5EF4-FFF2-40B4-BE49-F238E27FC236}">
              <a16:creationId xmlns:a16="http://schemas.microsoft.com/office/drawing/2014/main" id="{2D197A3D-0753-49B9-A78A-6DD7D83339B7}"/>
            </a:ext>
          </a:extLst>
        </xdr:cNvPr>
        <xdr:cNvSpPr/>
      </xdr:nvSpPr>
      <xdr:spPr>
        <a:xfrm>
          <a:off x="143933" y="27172708"/>
          <a:ext cx="13588119" cy="25823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89</xdr:row>
      <xdr:rowOff>77258</xdr:rowOff>
    </xdr:from>
    <xdr:to>
      <xdr:col>8</xdr:col>
      <xdr:colOff>841375</xdr:colOff>
      <xdr:row>92</xdr:row>
      <xdr:rowOff>33867</xdr:rowOff>
    </xdr:to>
    <xdr:sp macro="" textlink="">
      <xdr:nvSpPr>
        <xdr:cNvPr id="24" name="Rectángulo: esquinas redondeadas 23">
          <a:extLst>
            <a:ext uri="{FF2B5EF4-FFF2-40B4-BE49-F238E27FC236}">
              <a16:creationId xmlns:a16="http://schemas.microsoft.com/office/drawing/2014/main" id="{3A912CA2-2313-47A5-9BBE-7D31B5445959}"/>
            </a:ext>
          </a:extLst>
        </xdr:cNvPr>
        <xdr:cNvSpPr/>
      </xdr:nvSpPr>
      <xdr:spPr>
        <a:xfrm>
          <a:off x="175682" y="27509258"/>
          <a:ext cx="13586885" cy="63605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MINUSC (LOWER en inglés) </a:t>
          </a:r>
          <a:r>
            <a:rPr lang="en-US" sz="1000" b="0">
              <a:solidFill>
                <a:schemeClr val="tx1"/>
              </a:solidFill>
              <a:latin typeface="Montserrat" panose="00000500000000000000" pitchFamily="2" charset="0"/>
              <a:ea typeface="+mn-ea"/>
              <a:cs typeface="+mn-cs"/>
            </a:rPr>
            <a:t>convierte todas las letras en una cadena de texto a minúsculas. Esta función es útil para estandarizar los datos de texto, asegurando la uniformidad en el uso de mayúsculas y minúsculas, especialmente útil en la preparación de datos para análisis o cuando se requiere consistencia en los formatos de texto.</a:t>
          </a:r>
        </a:p>
      </xdr:txBody>
    </xdr:sp>
    <xdr:clientData/>
  </xdr:twoCellAnchor>
  <xdr:twoCellAnchor editAs="oneCell">
    <xdr:from>
      <xdr:col>1</xdr:col>
      <xdr:colOff>0</xdr:colOff>
      <xdr:row>92</xdr:row>
      <xdr:rowOff>150282</xdr:rowOff>
    </xdr:from>
    <xdr:to>
      <xdr:col>8</xdr:col>
      <xdr:colOff>797102</xdr:colOff>
      <xdr:row>93</xdr:row>
      <xdr:rowOff>186266</xdr:rowOff>
    </xdr:to>
    <xdr:sp macro="" textlink="">
      <xdr:nvSpPr>
        <xdr:cNvPr id="25" name="Rectángulo: esquinas redondeadas 24">
          <a:extLst>
            <a:ext uri="{FF2B5EF4-FFF2-40B4-BE49-F238E27FC236}">
              <a16:creationId xmlns:a16="http://schemas.microsoft.com/office/drawing/2014/main" id="{3DDE11C2-AEC5-43D5-A2AA-5905F26E89C6}"/>
            </a:ext>
          </a:extLst>
        </xdr:cNvPr>
        <xdr:cNvSpPr/>
      </xdr:nvSpPr>
      <xdr:spPr>
        <a:xfrm>
          <a:off x="123825" y="28268082"/>
          <a:ext cx="13591294" cy="26140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102</xdr:row>
      <xdr:rowOff>116416</xdr:rowOff>
    </xdr:from>
    <xdr:to>
      <xdr:col>8</xdr:col>
      <xdr:colOff>803452</xdr:colOff>
      <xdr:row>103</xdr:row>
      <xdr:rowOff>173568</xdr:rowOff>
    </xdr:to>
    <xdr:sp macro="" textlink="">
      <xdr:nvSpPr>
        <xdr:cNvPr id="26" name="Rectángulo: esquinas redondeadas 25">
          <a:extLst>
            <a:ext uri="{FF2B5EF4-FFF2-40B4-BE49-F238E27FC236}">
              <a16:creationId xmlns:a16="http://schemas.microsoft.com/office/drawing/2014/main" id="{965504A9-41E4-4A6F-B2A2-C909E0786F25}"/>
            </a:ext>
          </a:extLst>
        </xdr:cNvPr>
        <xdr:cNvSpPr/>
      </xdr:nvSpPr>
      <xdr:spPr>
        <a:xfrm>
          <a:off x="133350" y="30520216"/>
          <a:ext cx="13591294" cy="2857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39158</xdr:colOff>
      <xdr:row>85</xdr:row>
      <xdr:rowOff>0</xdr:rowOff>
    </xdr:from>
    <xdr:to>
      <xdr:col>8</xdr:col>
      <xdr:colOff>911226</xdr:colOff>
      <xdr:row>87</xdr:row>
      <xdr:rowOff>21165</xdr:rowOff>
    </xdr:to>
    <xdr:grpSp>
      <xdr:nvGrpSpPr>
        <xdr:cNvPr id="28" name="Grupo 27">
          <a:extLst>
            <a:ext uri="{FF2B5EF4-FFF2-40B4-BE49-F238E27FC236}">
              <a16:creationId xmlns:a16="http://schemas.microsoft.com/office/drawing/2014/main" id="{C4F30D73-807F-4F05-8CBF-D055CD1F0086}"/>
            </a:ext>
          </a:extLst>
        </xdr:cNvPr>
        <xdr:cNvGrpSpPr/>
      </xdr:nvGrpSpPr>
      <xdr:grpSpPr>
        <a:xfrm>
          <a:off x="155575" y="15335250"/>
          <a:ext cx="12259734" cy="380998"/>
          <a:chOff x="136524" y="104775"/>
          <a:chExt cx="13664143" cy="541867"/>
        </a:xfrm>
      </xdr:grpSpPr>
      <xdr:sp macro="" textlink="">
        <xdr:nvSpPr>
          <xdr:cNvPr id="29" name="Rectángulo: esquinas redondeadas 28">
            <a:extLst>
              <a:ext uri="{FF2B5EF4-FFF2-40B4-BE49-F238E27FC236}">
                <a16:creationId xmlns:a16="http://schemas.microsoft.com/office/drawing/2014/main" id="{93BC1347-FEB1-8FFD-C4BD-7408D057D69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0" name="CuadroTexto 29">
            <a:extLst>
              <a:ext uri="{FF2B5EF4-FFF2-40B4-BE49-F238E27FC236}">
                <a16:creationId xmlns:a16="http://schemas.microsoft.com/office/drawing/2014/main" id="{8EA0E057-A966-5D5C-A979-C7F90B4E2041}"/>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MINUSC</a:t>
            </a:r>
          </a:p>
        </xdr:txBody>
      </xdr:sp>
      <xdr:pic>
        <xdr:nvPicPr>
          <xdr:cNvPr id="31" name="Gráfico 30" descr="Search Inventory con relleno sólido">
            <a:extLst>
              <a:ext uri="{FF2B5EF4-FFF2-40B4-BE49-F238E27FC236}">
                <a16:creationId xmlns:a16="http://schemas.microsoft.com/office/drawing/2014/main" id="{7081B180-9EF5-7EA5-3E29-B29A595D8D3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32" name="Gráfico 31" descr="Circle with left arrow con relleno sólido">
            <a:hlinkClick xmlns:r="http://schemas.openxmlformats.org/officeDocument/2006/relationships" r:id="rId1"/>
            <a:extLst>
              <a:ext uri="{FF2B5EF4-FFF2-40B4-BE49-F238E27FC236}">
                <a16:creationId xmlns:a16="http://schemas.microsoft.com/office/drawing/2014/main" id="{4AE1D3B4-F985-E10D-5653-71E13E719C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168274</xdr:colOff>
      <xdr:row>0</xdr:row>
      <xdr:rowOff>137584</xdr:rowOff>
    </xdr:from>
    <xdr:to>
      <xdr:col>1</xdr:col>
      <xdr:colOff>645583</xdr:colOff>
      <xdr:row>2</xdr:row>
      <xdr:rowOff>205339</xdr:rowOff>
    </xdr:to>
    <xdr:pic>
      <xdr:nvPicPr>
        <xdr:cNvPr id="34" name="Gráfico 33" descr="Left Brain con relleno sólido">
          <a:extLst>
            <a:ext uri="{FF2B5EF4-FFF2-40B4-BE49-F238E27FC236}">
              <a16:creationId xmlns:a16="http://schemas.microsoft.com/office/drawing/2014/main" id="{59707C97-021F-4BFB-8D76-AEB8DC09F92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2099" y="137584"/>
          <a:ext cx="470959" cy="518605"/>
        </a:xfrm>
        <a:prstGeom prst="rect">
          <a:avLst/>
        </a:prstGeom>
      </xdr:spPr>
    </xdr:pic>
    <xdr:clientData/>
  </xdr:twoCellAnchor>
  <xdr:twoCellAnchor editAs="oneCell">
    <xdr:from>
      <xdr:col>1</xdr:col>
      <xdr:colOff>20108</xdr:colOff>
      <xdr:row>128</xdr:row>
      <xdr:rowOff>197907</xdr:rowOff>
    </xdr:from>
    <xdr:to>
      <xdr:col>8</xdr:col>
      <xdr:colOff>817210</xdr:colOff>
      <xdr:row>130</xdr:row>
      <xdr:rowOff>1762</xdr:rowOff>
    </xdr:to>
    <xdr:sp macro="" textlink="">
      <xdr:nvSpPr>
        <xdr:cNvPr id="83" name="Rectángulo: esquinas redondeadas 82">
          <a:extLst>
            <a:ext uri="{FF2B5EF4-FFF2-40B4-BE49-F238E27FC236}">
              <a16:creationId xmlns:a16="http://schemas.microsoft.com/office/drawing/2014/main" id="{E639A606-154F-4249-A5FE-86000CE94266}"/>
            </a:ext>
          </a:extLst>
        </xdr:cNvPr>
        <xdr:cNvSpPr/>
      </xdr:nvSpPr>
      <xdr:spPr>
        <a:xfrm>
          <a:off x="147108" y="40012407"/>
          <a:ext cx="13586002" cy="26246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130</xdr:row>
      <xdr:rowOff>77257</xdr:rowOff>
    </xdr:from>
    <xdr:to>
      <xdr:col>8</xdr:col>
      <xdr:colOff>841375</xdr:colOff>
      <xdr:row>133</xdr:row>
      <xdr:rowOff>33866</xdr:rowOff>
    </xdr:to>
    <xdr:sp macro="" textlink="">
      <xdr:nvSpPr>
        <xdr:cNvPr id="84" name="Rectángulo: esquinas redondeadas 83">
          <a:extLst>
            <a:ext uri="{FF2B5EF4-FFF2-40B4-BE49-F238E27FC236}">
              <a16:creationId xmlns:a16="http://schemas.microsoft.com/office/drawing/2014/main" id="{720D9B17-DC59-4362-93A0-645EDAD3F6CD}"/>
            </a:ext>
          </a:extLst>
        </xdr:cNvPr>
        <xdr:cNvSpPr/>
      </xdr:nvSpPr>
      <xdr:spPr>
        <a:xfrm>
          <a:off x="178857" y="40357424"/>
          <a:ext cx="13584768" cy="64875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NOMPROPIO (PROPER en inglés) </a:t>
          </a:r>
          <a:r>
            <a:rPr lang="en-US" sz="1000" b="0">
              <a:solidFill>
                <a:schemeClr val="tx1"/>
              </a:solidFill>
              <a:latin typeface="Montserrat" panose="00000500000000000000" pitchFamily="2" charset="0"/>
              <a:ea typeface="+mn-ea"/>
              <a:cs typeface="+mn-cs"/>
            </a:rPr>
            <a:t>convierte la primera letra de cada palabra en una cadena de texto a mayúscula y todas las demás letras a minúsculas. Es útil para corregir o estandarizar la capitalización de nombres propios, títulos, o cualquier otro texto que requiera un formato de mayúscula inicial en cada palabra.</a:t>
          </a:r>
        </a:p>
      </xdr:txBody>
    </xdr:sp>
    <xdr:clientData/>
  </xdr:twoCellAnchor>
  <xdr:twoCellAnchor editAs="oneCell">
    <xdr:from>
      <xdr:col>1</xdr:col>
      <xdr:colOff>0</xdr:colOff>
      <xdr:row>133</xdr:row>
      <xdr:rowOff>150281</xdr:rowOff>
    </xdr:from>
    <xdr:to>
      <xdr:col>8</xdr:col>
      <xdr:colOff>797102</xdr:colOff>
      <xdr:row>134</xdr:row>
      <xdr:rowOff>186264</xdr:rowOff>
    </xdr:to>
    <xdr:sp macro="" textlink="">
      <xdr:nvSpPr>
        <xdr:cNvPr id="85" name="Rectángulo: esquinas redondeadas 84">
          <a:extLst>
            <a:ext uri="{FF2B5EF4-FFF2-40B4-BE49-F238E27FC236}">
              <a16:creationId xmlns:a16="http://schemas.microsoft.com/office/drawing/2014/main" id="{8177B105-0E0F-4535-ACF5-6E3CD741FEA6}"/>
            </a:ext>
          </a:extLst>
        </xdr:cNvPr>
        <xdr:cNvSpPr/>
      </xdr:nvSpPr>
      <xdr:spPr>
        <a:xfrm>
          <a:off x="127000" y="41128948"/>
          <a:ext cx="13589177" cy="26564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143</xdr:row>
      <xdr:rowOff>116415</xdr:rowOff>
    </xdr:from>
    <xdr:to>
      <xdr:col>8</xdr:col>
      <xdr:colOff>803452</xdr:colOff>
      <xdr:row>144</xdr:row>
      <xdr:rowOff>173567</xdr:rowOff>
    </xdr:to>
    <xdr:sp macro="" textlink="">
      <xdr:nvSpPr>
        <xdr:cNvPr id="86" name="Rectángulo: esquinas redondeadas 85">
          <a:extLst>
            <a:ext uri="{FF2B5EF4-FFF2-40B4-BE49-F238E27FC236}">
              <a16:creationId xmlns:a16="http://schemas.microsoft.com/office/drawing/2014/main" id="{0B201E5E-8345-4D32-B163-EC1BA48328E3}"/>
            </a:ext>
          </a:extLst>
        </xdr:cNvPr>
        <xdr:cNvSpPr/>
      </xdr:nvSpPr>
      <xdr:spPr>
        <a:xfrm>
          <a:off x="136525" y="43423415"/>
          <a:ext cx="13589177" cy="28998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39158</xdr:colOff>
      <xdr:row>126</xdr:row>
      <xdr:rowOff>0</xdr:rowOff>
    </xdr:from>
    <xdr:to>
      <xdr:col>8</xdr:col>
      <xdr:colOff>911226</xdr:colOff>
      <xdr:row>128</xdr:row>
      <xdr:rowOff>21165</xdr:rowOff>
    </xdr:to>
    <xdr:grpSp>
      <xdr:nvGrpSpPr>
        <xdr:cNvPr id="88" name="Grupo 87">
          <a:extLst>
            <a:ext uri="{FF2B5EF4-FFF2-40B4-BE49-F238E27FC236}">
              <a16:creationId xmlns:a16="http://schemas.microsoft.com/office/drawing/2014/main" id="{B0334C77-95B6-485C-B86E-155FD10AED75}"/>
            </a:ext>
          </a:extLst>
        </xdr:cNvPr>
        <xdr:cNvGrpSpPr/>
      </xdr:nvGrpSpPr>
      <xdr:grpSpPr>
        <a:xfrm>
          <a:off x="155575" y="22743583"/>
          <a:ext cx="12259734" cy="380999"/>
          <a:chOff x="136524" y="104775"/>
          <a:chExt cx="13664143" cy="541867"/>
        </a:xfrm>
      </xdr:grpSpPr>
      <xdr:sp macro="" textlink="">
        <xdr:nvSpPr>
          <xdr:cNvPr id="89" name="Rectángulo: esquinas redondeadas 88">
            <a:extLst>
              <a:ext uri="{FF2B5EF4-FFF2-40B4-BE49-F238E27FC236}">
                <a16:creationId xmlns:a16="http://schemas.microsoft.com/office/drawing/2014/main" id="{2A45223E-41D7-A11B-1964-7673E79323EE}"/>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0" name="CuadroTexto 89">
            <a:extLst>
              <a:ext uri="{FF2B5EF4-FFF2-40B4-BE49-F238E27FC236}">
                <a16:creationId xmlns:a16="http://schemas.microsoft.com/office/drawing/2014/main" id="{3647992F-D859-0768-303B-F90F08EDB1A2}"/>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NOMPROPIO</a:t>
            </a:r>
          </a:p>
        </xdr:txBody>
      </xdr:sp>
      <xdr:pic>
        <xdr:nvPicPr>
          <xdr:cNvPr id="91" name="Gráfico 90" descr="Search Inventory con relleno sólido">
            <a:extLst>
              <a:ext uri="{FF2B5EF4-FFF2-40B4-BE49-F238E27FC236}">
                <a16:creationId xmlns:a16="http://schemas.microsoft.com/office/drawing/2014/main" id="{ABA0F547-B041-8CDF-89B7-0864C35EEC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92" name="Gráfico 91" descr="Circle with left arrow con relleno sólido">
            <a:hlinkClick xmlns:r="http://schemas.openxmlformats.org/officeDocument/2006/relationships" r:id="rId1"/>
            <a:extLst>
              <a:ext uri="{FF2B5EF4-FFF2-40B4-BE49-F238E27FC236}">
                <a16:creationId xmlns:a16="http://schemas.microsoft.com/office/drawing/2014/main" id="{0BD71A66-528B-786E-57B3-E20091DFC1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0</xdr:colOff>
      <xdr:row>136</xdr:row>
      <xdr:rowOff>0</xdr:rowOff>
    </xdr:from>
    <xdr:to>
      <xdr:col>3</xdr:col>
      <xdr:colOff>42333</xdr:colOff>
      <xdr:row>140</xdr:row>
      <xdr:rowOff>207378</xdr:rowOff>
    </xdr:to>
    <xdr:grpSp>
      <xdr:nvGrpSpPr>
        <xdr:cNvPr id="114" name="Grupo 113">
          <a:extLst>
            <a:ext uri="{FF2B5EF4-FFF2-40B4-BE49-F238E27FC236}">
              <a16:creationId xmlns:a16="http://schemas.microsoft.com/office/drawing/2014/main" id="{1D141C07-92DC-40F1-9AAC-653B8BB92E65}"/>
            </a:ext>
          </a:extLst>
        </xdr:cNvPr>
        <xdr:cNvGrpSpPr/>
      </xdr:nvGrpSpPr>
      <xdr:grpSpPr>
        <a:xfrm>
          <a:off x="116417" y="24542750"/>
          <a:ext cx="4063999" cy="898470"/>
          <a:chOff x="243568" y="5018653"/>
          <a:chExt cx="4440013" cy="1135536"/>
        </a:xfrm>
      </xdr:grpSpPr>
      <xdr:grpSp>
        <xdr:nvGrpSpPr>
          <xdr:cNvPr id="115" name="Grupo 114">
            <a:extLst>
              <a:ext uri="{FF2B5EF4-FFF2-40B4-BE49-F238E27FC236}">
                <a16:creationId xmlns:a16="http://schemas.microsoft.com/office/drawing/2014/main" id="{EB0F6505-9E31-A04F-3DF7-C1C1D0CE299C}"/>
              </a:ext>
            </a:extLst>
          </xdr:cNvPr>
          <xdr:cNvGrpSpPr/>
        </xdr:nvGrpSpPr>
        <xdr:grpSpPr>
          <a:xfrm>
            <a:off x="243568" y="5018653"/>
            <a:ext cx="4440013" cy="355148"/>
            <a:chOff x="276225" y="2009775"/>
            <a:chExt cx="4429127" cy="352426"/>
          </a:xfrm>
        </xdr:grpSpPr>
        <xdr:sp macro="" textlink="">
          <xdr:nvSpPr>
            <xdr:cNvPr id="118" name="Rectángulo: esquinas redondeadas 117">
              <a:extLst>
                <a:ext uri="{FF2B5EF4-FFF2-40B4-BE49-F238E27FC236}">
                  <a16:creationId xmlns:a16="http://schemas.microsoft.com/office/drawing/2014/main" id="{E3A2AB3E-F327-5CFF-B665-C6DE09AE1C95}"/>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9" name="Rectángulo: esquinas redondeadas 118">
              <a:extLst>
                <a:ext uri="{FF2B5EF4-FFF2-40B4-BE49-F238E27FC236}">
                  <a16:creationId xmlns:a16="http://schemas.microsoft.com/office/drawing/2014/main" id="{2FE40C18-FECC-1601-C8CD-9851BBB77D72}"/>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NOMPROPIO</a:t>
              </a:r>
            </a:p>
          </xdr:txBody>
        </xdr:sp>
        <xdr:sp macro="" textlink="">
          <xdr:nvSpPr>
            <xdr:cNvPr id="120" name="Rectángulo: esquinas redondeadas 119">
              <a:extLst>
                <a:ext uri="{FF2B5EF4-FFF2-40B4-BE49-F238E27FC236}">
                  <a16:creationId xmlns:a16="http://schemas.microsoft.com/office/drawing/2014/main" id="{D686FCA8-EA4B-9D37-3C0E-FBE26328D4B8}"/>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1" name="Rectángulo: esquinas redondeadas 120">
              <a:extLst>
                <a:ext uri="{FF2B5EF4-FFF2-40B4-BE49-F238E27FC236}">
                  <a16:creationId xmlns:a16="http://schemas.microsoft.com/office/drawing/2014/main" id="{22719344-13C7-2F72-0E3B-2F2E349ED3E9}"/>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22" name="Rectángulo: esquinas redondeadas 121">
              <a:extLst>
                <a:ext uri="{FF2B5EF4-FFF2-40B4-BE49-F238E27FC236}">
                  <a16:creationId xmlns:a16="http://schemas.microsoft.com/office/drawing/2014/main" id="{A577ED59-A8FF-B2F3-BC52-972E1DB3CCAF}"/>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16" name="Rectángulo: esquinas redondeadas 115">
            <a:extLst>
              <a:ext uri="{FF2B5EF4-FFF2-40B4-BE49-F238E27FC236}">
                <a16:creationId xmlns:a16="http://schemas.microsoft.com/office/drawing/2014/main" id="{9AA0576D-8D6C-DA4A-E08E-0F09597E1F8D}"/>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que deseas formatear, donde cada palabra dentro de esta cadena tendrá su primera letra en mayúscula y todas las demás en minúsculas.</a:t>
            </a:r>
          </a:p>
        </xdr:txBody>
      </xdr:sp>
      <xdr:pic>
        <xdr:nvPicPr>
          <xdr:cNvPr id="117" name="Gráfico 116" descr="Information con relleno sólido">
            <a:extLst>
              <a:ext uri="{FF2B5EF4-FFF2-40B4-BE49-F238E27FC236}">
                <a16:creationId xmlns:a16="http://schemas.microsoft.com/office/drawing/2014/main" id="{3E6D2719-3A10-41E4-E80A-85A7DE24D1D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49955" y="5570764"/>
            <a:ext cx="161925" cy="161925"/>
          </a:xfrm>
          <a:prstGeom prst="rect">
            <a:avLst/>
          </a:prstGeom>
        </xdr:spPr>
      </xdr:pic>
    </xdr:grpSp>
    <xdr:clientData/>
  </xdr:twoCellAnchor>
  <xdr:twoCellAnchor editAs="oneCell">
    <xdr:from>
      <xdr:col>1</xdr:col>
      <xdr:colOff>0</xdr:colOff>
      <xdr:row>95</xdr:row>
      <xdr:rowOff>0</xdr:rowOff>
    </xdr:from>
    <xdr:to>
      <xdr:col>3</xdr:col>
      <xdr:colOff>16933</xdr:colOff>
      <xdr:row>99</xdr:row>
      <xdr:rowOff>207378</xdr:rowOff>
    </xdr:to>
    <xdr:grpSp>
      <xdr:nvGrpSpPr>
        <xdr:cNvPr id="123" name="Grupo 122">
          <a:extLst>
            <a:ext uri="{FF2B5EF4-FFF2-40B4-BE49-F238E27FC236}">
              <a16:creationId xmlns:a16="http://schemas.microsoft.com/office/drawing/2014/main" id="{B134329F-894F-49EE-8001-2D6B47A86927}"/>
            </a:ext>
          </a:extLst>
        </xdr:cNvPr>
        <xdr:cNvGrpSpPr/>
      </xdr:nvGrpSpPr>
      <xdr:grpSpPr>
        <a:xfrm>
          <a:off x="116417" y="17134417"/>
          <a:ext cx="4038599" cy="898469"/>
          <a:chOff x="243568" y="5018653"/>
          <a:chExt cx="4440013" cy="1135536"/>
        </a:xfrm>
      </xdr:grpSpPr>
      <xdr:grpSp>
        <xdr:nvGrpSpPr>
          <xdr:cNvPr id="124" name="Grupo 123">
            <a:extLst>
              <a:ext uri="{FF2B5EF4-FFF2-40B4-BE49-F238E27FC236}">
                <a16:creationId xmlns:a16="http://schemas.microsoft.com/office/drawing/2014/main" id="{1AAD8EDD-6543-C178-180A-42051562C14A}"/>
              </a:ext>
            </a:extLst>
          </xdr:cNvPr>
          <xdr:cNvGrpSpPr/>
        </xdr:nvGrpSpPr>
        <xdr:grpSpPr>
          <a:xfrm>
            <a:off x="243568" y="5018653"/>
            <a:ext cx="4440013" cy="355148"/>
            <a:chOff x="276225" y="2009775"/>
            <a:chExt cx="4429127" cy="352426"/>
          </a:xfrm>
        </xdr:grpSpPr>
        <xdr:sp macro="" textlink="">
          <xdr:nvSpPr>
            <xdr:cNvPr id="127" name="Rectángulo: esquinas redondeadas 126">
              <a:extLst>
                <a:ext uri="{FF2B5EF4-FFF2-40B4-BE49-F238E27FC236}">
                  <a16:creationId xmlns:a16="http://schemas.microsoft.com/office/drawing/2014/main" id="{D6519FD8-5773-D674-EEBF-8FBB4A6A3602}"/>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8" name="Rectángulo: esquinas redondeadas 127">
              <a:extLst>
                <a:ext uri="{FF2B5EF4-FFF2-40B4-BE49-F238E27FC236}">
                  <a16:creationId xmlns:a16="http://schemas.microsoft.com/office/drawing/2014/main" id="{1B01487D-ECFF-C00F-8231-5614FD0DC595}"/>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MINUSC</a:t>
              </a:r>
            </a:p>
          </xdr:txBody>
        </xdr:sp>
        <xdr:sp macro="" textlink="">
          <xdr:nvSpPr>
            <xdr:cNvPr id="129" name="Rectángulo: esquinas redondeadas 128">
              <a:extLst>
                <a:ext uri="{FF2B5EF4-FFF2-40B4-BE49-F238E27FC236}">
                  <a16:creationId xmlns:a16="http://schemas.microsoft.com/office/drawing/2014/main" id="{920C9219-4A77-98D6-401D-A4FA0419C060}"/>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0" name="Rectángulo: esquinas redondeadas 129">
              <a:extLst>
                <a:ext uri="{FF2B5EF4-FFF2-40B4-BE49-F238E27FC236}">
                  <a16:creationId xmlns:a16="http://schemas.microsoft.com/office/drawing/2014/main" id="{76FCBDDC-C761-260B-6805-519A7459AFC9}"/>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31" name="Rectángulo: esquinas redondeadas 130">
              <a:extLst>
                <a:ext uri="{FF2B5EF4-FFF2-40B4-BE49-F238E27FC236}">
                  <a16:creationId xmlns:a16="http://schemas.microsoft.com/office/drawing/2014/main" id="{11BBD055-7DAC-179C-D156-4E8D44D9B995}"/>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25" name="Rectángulo: esquinas redondeadas 124">
            <a:extLst>
              <a:ext uri="{FF2B5EF4-FFF2-40B4-BE49-F238E27FC236}">
                <a16:creationId xmlns:a16="http://schemas.microsoft.com/office/drawing/2014/main" id="{AE63129A-5C11-334D-D21C-38407DE14D3D}"/>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que deseas convertir a minúsculas.</a:t>
            </a:r>
          </a:p>
        </xdr:txBody>
      </xdr:sp>
      <xdr:pic>
        <xdr:nvPicPr>
          <xdr:cNvPr id="126" name="Gráfico 125" descr="Information con relleno sólido">
            <a:extLst>
              <a:ext uri="{FF2B5EF4-FFF2-40B4-BE49-F238E27FC236}">
                <a16:creationId xmlns:a16="http://schemas.microsoft.com/office/drawing/2014/main" id="{AED54098-2DA0-C879-2D9D-BE2F055133D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49955" y="5570764"/>
            <a:ext cx="161925" cy="161925"/>
          </a:xfrm>
          <a:prstGeom prst="rect">
            <a:avLst/>
          </a:prstGeom>
        </xdr:spPr>
      </xdr:pic>
    </xdr:grpSp>
    <xdr:clientData/>
  </xdr:twoCellAnchor>
  <xdr:twoCellAnchor editAs="oneCell">
    <xdr:from>
      <xdr:col>1</xdr:col>
      <xdr:colOff>10583</xdr:colOff>
      <xdr:row>53</xdr:row>
      <xdr:rowOff>127000</xdr:rowOff>
    </xdr:from>
    <xdr:to>
      <xdr:col>2</xdr:col>
      <xdr:colOff>2130425</xdr:colOff>
      <xdr:row>58</xdr:row>
      <xdr:rowOff>98371</xdr:rowOff>
    </xdr:to>
    <xdr:grpSp>
      <xdr:nvGrpSpPr>
        <xdr:cNvPr id="132" name="Grupo 131">
          <a:extLst>
            <a:ext uri="{FF2B5EF4-FFF2-40B4-BE49-F238E27FC236}">
              <a16:creationId xmlns:a16="http://schemas.microsoft.com/office/drawing/2014/main" id="{B12EBDF0-229E-4F9F-A7CB-CC81943C8714}"/>
            </a:ext>
          </a:extLst>
        </xdr:cNvPr>
        <xdr:cNvGrpSpPr/>
      </xdr:nvGrpSpPr>
      <xdr:grpSpPr>
        <a:xfrm>
          <a:off x="127000" y="9683750"/>
          <a:ext cx="3876675" cy="870954"/>
          <a:chOff x="243568" y="5018653"/>
          <a:chExt cx="4440013" cy="1135536"/>
        </a:xfrm>
      </xdr:grpSpPr>
      <xdr:grpSp>
        <xdr:nvGrpSpPr>
          <xdr:cNvPr id="133" name="Grupo 132">
            <a:extLst>
              <a:ext uri="{FF2B5EF4-FFF2-40B4-BE49-F238E27FC236}">
                <a16:creationId xmlns:a16="http://schemas.microsoft.com/office/drawing/2014/main" id="{0AF25CE7-8F7C-72E6-BC68-08C28A2A3F3B}"/>
              </a:ext>
            </a:extLst>
          </xdr:cNvPr>
          <xdr:cNvGrpSpPr/>
        </xdr:nvGrpSpPr>
        <xdr:grpSpPr>
          <a:xfrm>
            <a:off x="243568" y="5018653"/>
            <a:ext cx="4440013" cy="355148"/>
            <a:chOff x="276225" y="2009775"/>
            <a:chExt cx="4429127" cy="352426"/>
          </a:xfrm>
        </xdr:grpSpPr>
        <xdr:sp macro="" textlink="">
          <xdr:nvSpPr>
            <xdr:cNvPr id="136" name="Rectángulo: esquinas redondeadas 135">
              <a:extLst>
                <a:ext uri="{FF2B5EF4-FFF2-40B4-BE49-F238E27FC236}">
                  <a16:creationId xmlns:a16="http://schemas.microsoft.com/office/drawing/2014/main" id="{04DE718C-1605-4777-E67A-621838E9EB8A}"/>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7" name="Rectángulo: esquinas redondeadas 136">
              <a:extLst>
                <a:ext uri="{FF2B5EF4-FFF2-40B4-BE49-F238E27FC236}">
                  <a16:creationId xmlns:a16="http://schemas.microsoft.com/office/drawing/2014/main" id="{F964A354-75E4-22FF-03E3-2C21D7ED36AA}"/>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MAYUSC</a:t>
              </a:r>
            </a:p>
          </xdr:txBody>
        </xdr:sp>
        <xdr:sp macro="" textlink="">
          <xdr:nvSpPr>
            <xdr:cNvPr id="138" name="Rectángulo: esquinas redondeadas 137">
              <a:extLst>
                <a:ext uri="{FF2B5EF4-FFF2-40B4-BE49-F238E27FC236}">
                  <a16:creationId xmlns:a16="http://schemas.microsoft.com/office/drawing/2014/main" id="{B93C6FE9-4E2F-E242-F76A-DC2049A622E8}"/>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9" name="Rectángulo: esquinas redondeadas 138">
              <a:extLst>
                <a:ext uri="{FF2B5EF4-FFF2-40B4-BE49-F238E27FC236}">
                  <a16:creationId xmlns:a16="http://schemas.microsoft.com/office/drawing/2014/main" id="{3CA6576D-B990-8630-0C28-10FF5330732A}"/>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40" name="Rectángulo: esquinas redondeadas 139">
              <a:extLst>
                <a:ext uri="{FF2B5EF4-FFF2-40B4-BE49-F238E27FC236}">
                  <a16:creationId xmlns:a16="http://schemas.microsoft.com/office/drawing/2014/main" id="{F20C79E9-60BD-F994-5A5D-142FCC0C5B05}"/>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34" name="Rectángulo: esquinas redondeadas 133">
            <a:extLst>
              <a:ext uri="{FF2B5EF4-FFF2-40B4-BE49-F238E27FC236}">
                <a16:creationId xmlns:a16="http://schemas.microsoft.com/office/drawing/2014/main" id="{37186B6C-EBA4-95C8-E17B-2CD4683688B7}"/>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que deseas convertir a mayúsculas.</a:t>
            </a:r>
          </a:p>
        </xdr:txBody>
      </xdr:sp>
      <xdr:pic>
        <xdr:nvPicPr>
          <xdr:cNvPr id="135" name="Gráfico 134" descr="Information con relleno sólido">
            <a:extLst>
              <a:ext uri="{FF2B5EF4-FFF2-40B4-BE49-F238E27FC236}">
                <a16:creationId xmlns:a16="http://schemas.microsoft.com/office/drawing/2014/main" id="{C1A321B8-2021-2D7C-F166-5139E4045DC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49955" y="5570764"/>
            <a:ext cx="161925" cy="161925"/>
          </a:xfrm>
          <a:prstGeom prst="rect">
            <a:avLst/>
          </a:prstGeom>
        </xdr:spPr>
      </xdr:pic>
    </xdr:grpSp>
    <xdr:clientData/>
  </xdr:twoCellAnchor>
  <xdr:twoCellAnchor editAs="oneCell">
    <xdr:from>
      <xdr:col>0</xdr:col>
      <xdr:colOff>126999</xdr:colOff>
      <xdr:row>11</xdr:row>
      <xdr:rowOff>0</xdr:rowOff>
    </xdr:from>
    <xdr:to>
      <xdr:col>3</xdr:col>
      <xdr:colOff>497416</xdr:colOff>
      <xdr:row>15</xdr:row>
      <xdr:rowOff>168484</xdr:rowOff>
    </xdr:to>
    <xdr:grpSp>
      <xdr:nvGrpSpPr>
        <xdr:cNvPr id="154" name="Grupo 153">
          <a:extLst>
            <a:ext uri="{FF2B5EF4-FFF2-40B4-BE49-F238E27FC236}">
              <a16:creationId xmlns:a16="http://schemas.microsoft.com/office/drawing/2014/main" id="{6FC19134-3E34-4E7B-B259-BEDD4214A098}"/>
            </a:ext>
          </a:extLst>
        </xdr:cNvPr>
        <xdr:cNvGrpSpPr/>
      </xdr:nvGrpSpPr>
      <xdr:grpSpPr>
        <a:xfrm>
          <a:off x="117474" y="1979083"/>
          <a:ext cx="4518025" cy="888151"/>
          <a:chOff x="229961" y="3365726"/>
          <a:chExt cx="6800852" cy="1099817"/>
        </a:xfrm>
      </xdr:grpSpPr>
      <xdr:grpSp>
        <xdr:nvGrpSpPr>
          <xdr:cNvPr id="155" name="Grupo 154">
            <a:extLst>
              <a:ext uri="{FF2B5EF4-FFF2-40B4-BE49-F238E27FC236}">
                <a16:creationId xmlns:a16="http://schemas.microsoft.com/office/drawing/2014/main" id="{90109083-2CA4-A0D5-7FA9-53C41B3FE06B}"/>
              </a:ext>
            </a:extLst>
          </xdr:cNvPr>
          <xdr:cNvGrpSpPr/>
        </xdr:nvGrpSpPr>
        <xdr:grpSpPr>
          <a:xfrm>
            <a:off x="229961" y="3365726"/>
            <a:ext cx="6800852" cy="355148"/>
            <a:chOff x="304800" y="1466850"/>
            <a:chExt cx="6781802" cy="352426"/>
          </a:xfrm>
        </xdr:grpSpPr>
        <xdr:sp macro="" textlink="">
          <xdr:nvSpPr>
            <xdr:cNvPr id="160" name="Rectángulo: esquinas redondeadas 159">
              <a:extLst>
                <a:ext uri="{FF2B5EF4-FFF2-40B4-BE49-F238E27FC236}">
                  <a16:creationId xmlns:a16="http://schemas.microsoft.com/office/drawing/2014/main" id="{6DA92E9F-BE00-5D2C-5035-993379D9B940}"/>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61" name="Rectángulo: esquinas redondeadas 160">
              <a:extLst>
                <a:ext uri="{FF2B5EF4-FFF2-40B4-BE49-F238E27FC236}">
                  <a16:creationId xmlns:a16="http://schemas.microsoft.com/office/drawing/2014/main" id="{2BCCC2D5-786A-9730-EB15-963774EB1663}"/>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CONCAT</a:t>
              </a:r>
            </a:p>
          </xdr:txBody>
        </xdr:sp>
        <xdr:sp macro="" textlink="">
          <xdr:nvSpPr>
            <xdr:cNvPr id="162" name="Rectángulo: esquinas redondeadas 161">
              <a:extLst>
                <a:ext uri="{FF2B5EF4-FFF2-40B4-BE49-F238E27FC236}">
                  <a16:creationId xmlns:a16="http://schemas.microsoft.com/office/drawing/2014/main" id="{7FADBFB6-19B4-F7E0-D9E2-2411D50F24E9}"/>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63" name="Rectángulo: esquinas redondeadas 162">
              <a:extLst>
                <a:ext uri="{FF2B5EF4-FFF2-40B4-BE49-F238E27FC236}">
                  <a16:creationId xmlns:a16="http://schemas.microsoft.com/office/drawing/2014/main" id="{D7DE5013-B0DF-6406-5BF0-97E633A9984C}"/>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 1</a:t>
              </a:r>
            </a:p>
          </xdr:txBody>
        </xdr:sp>
        <xdr:sp macro="" textlink="">
          <xdr:nvSpPr>
            <xdr:cNvPr id="164" name="Rectángulo: esquinas redondeadas 163">
              <a:extLst>
                <a:ext uri="{FF2B5EF4-FFF2-40B4-BE49-F238E27FC236}">
                  <a16:creationId xmlns:a16="http://schemas.microsoft.com/office/drawing/2014/main" id="{FE7B6B7C-3B8A-E76F-6E53-2F07CA94ED47}"/>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r>
                <a:rPr lang="en-US" sz="1000" baseline="0">
                  <a:solidFill>
                    <a:schemeClr val="tx1"/>
                  </a:solidFill>
                  <a:latin typeface="Montserrat" panose="00000500000000000000" pitchFamily="2" charset="0"/>
                  <a:ea typeface="+mn-ea"/>
                  <a:cs typeface="+mn-cs"/>
                </a:rPr>
                <a:t> 2]...</a:t>
              </a:r>
              <a:endParaRPr lang="en-US" sz="1000">
                <a:solidFill>
                  <a:schemeClr val="tx1"/>
                </a:solidFill>
                <a:latin typeface="Montserrat" panose="00000500000000000000" pitchFamily="2" charset="0"/>
                <a:ea typeface="+mn-ea"/>
                <a:cs typeface="+mn-cs"/>
              </a:endParaRPr>
            </a:p>
          </xdr:txBody>
        </xdr:sp>
        <xdr:sp macro="" textlink="">
          <xdr:nvSpPr>
            <xdr:cNvPr id="165" name="Rectángulo: esquinas redondeadas 164">
              <a:extLst>
                <a:ext uri="{FF2B5EF4-FFF2-40B4-BE49-F238E27FC236}">
                  <a16:creationId xmlns:a16="http://schemas.microsoft.com/office/drawing/2014/main" id="{8F6190FE-01A5-0239-A44A-1968AC9DC940}"/>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66" name="Rectángulo: esquinas redondeadas 165">
              <a:extLst>
                <a:ext uri="{FF2B5EF4-FFF2-40B4-BE49-F238E27FC236}">
                  <a16:creationId xmlns:a16="http://schemas.microsoft.com/office/drawing/2014/main" id="{868DE7AE-29FA-EBC0-1700-BE52D5F656D5}"/>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56" name="Rectángulo: esquinas redondeadas 155">
            <a:extLst>
              <a:ext uri="{FF2B5EF4-FFF2-40B4-BE49-F238E27FC236}">
                <a16:creationId xmlns:a16="http://schemas.microsoft.com/office/drawing/2014/main" id="{B497B2B7-7194-71CE-1021-AC1B6E06D6AC}"/>
              </a:ext>
            </a:extLst>
          </xdr:cNvPr>
          <xdr:cNvSpPr/>
        </xdr:nvSpPr>
        <xdr:spPr>
          <a:xfrm>
            <a:off x="2288720" y="3853543"/>
            <a:ext cx="4365323"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Las cadenas de texto o rangos de celdas que deseas combinar. Puedes incluir tantos argumentos como necesites.</a:t>
            </a:r>
          </a:p>
        </xdr:txBody>
      </xdr:sp>
      <xdr:pic>
        <xdr:nvPicPr>
          <xdr:cNvPr id="157" name="Gráfico 156" descr="Information con relleno sólido">
            <a:extLst>
              <a:ext uri="{FF2B5EF4-FFF2-40B4-BE49-F238E27FC236}">
                <a16:creationId xmlns:a16="http://schemas.microsoft.com/office/drawing/2014/main" id="{4DE756EA-753F-24A1-5CE1-2FBD85D7F2A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5</xdr:col>
      <xdr:colOff>640468</xdr:colOff>
      <xdr:row>5</xdr:row>
      <xdr:rowOff>1059</xdr:rowOff>
    </xdr:to>
    <xdr:sp macro="" textlink="">
      <xdr:nvSpPr>
        <xdr:cNvPr id="2" name="Rectángulo: esquinas redondeadas 1">
          <a:extLst>
            <a:ext uri="{FF2B5EF4-FFF2-40B4-BE49-F238E27FC236}">
              <a16:creationId xmlns:a16="http://schemas.microsoft.com/office/drawing/2014/main" id="{E4CA1799-F564-4FE9-996E-45BCC3029E93}"/>
            </a:ext>
          </a:extLst>
        </xdr:cNvPr>
        <xdr:cNvSpPr/>
      </xdr:nvSpPr>
      <xdr:spPr>
        <a:xfrm>
          <a:off x="123824" y="8191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64860</xdr:rowOff>
    </xdr:from>
    <xdr:to>
      <xdr:col>5</xdr:col>
      <xdr:colOff>683683</xdr:colOff>
      <xdr:row>7</xdr:row>
      <xdr:rowOff>177799</xdr:rowOff>
    </xdr:to>
    <xdr:sp macro="" textlink="">
      <xdr:nvSpPr>
        <xdr:cNvPr id="3" name="Rectángulo: esquinas redondeadas 2">
          <a:extLst>
            <a:ext uri="{FF2B5EF4-FFF2-40B4-BE49-F238E27FC236}">
              <a16:creationId xmlns:a16="http://schemas.microsoft.com/office/drawing/2014/main" id="{831EA19A-8497-4AA7-9854-39F3CDD92E94}"/>
            </a:ext>
          </a:extLst>
        </xdr:cNvPr>
        <xdr:cNvSpPr/>
      </xdr:nvSpPr>
      <xdr:spPr>
        <a:xfrm>
          <a:off x="155573" y="1207860"/>
          <a:ext cx="13586885" cy="61458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ESPACIOS (TRIM en inglés) </a:t>
          </a:r>
          <a:r>
            <a:rPr lang="en-US" sz="1000" b="0">
              <a:solidFill>
                <a:schemeClr val="tx1"/>
              </a:solidFill>
              <a:latin typeface="Montserrat" panose="00000500000000000000" pitchFamily="2" charset="0"/>
              <a:ea typeface="+mn-ea"/>
              <a:cs typeface="+mn-cs"/>
            </a:rPr>
            <a:t>es una función en Excel que elimina espacios adicionales de una cadena de texto, excepto por los espacios simples entre palabras. Esta función es particularmente útil para limpiar datos de texto que pueden contener espacios no deseados al inicio, al final, o entre palabras, lo cual es común al copiar datos de otras fuentes o al trabajar con texto ingresado manualmente.</a:t>
          </a:r>
        </a:p>
      </xdr:txBody>
    </xdr:sp>
    <xdr:clientData/>
  </xdr:twoCellAnchor>
  <xdr:twoCellAnchor editAs="oneCell">
    <xdr:from>
      <xdr:col>0</xdr:col>
      <xdr:colOff>123824</xdr:colOff>
      <xdr:row>8</xdr:row>
      <xdr:rowOff>152400</xdr:rowOff>
    </xdr:from>
    <xdr:to>
      <xdr:col>5</xdr:col>
      <xdr:colOff>640468</xdr:colOff>
      <xdr:row>10</xdr:row>
      <xdr:rowOff>1058</xdr:rowOff>
    </xdr:to>
    <xdr:sp macro="" textlink="">
      <xdr:nvSpPr>
        <xdr:cNvPr id="4" name="Rectángulo: esquinas redondeadas 3">
          <a:extLst>
            <a:ext uri="{FF2B5EF4-FFF2-40B4-BE49-F238E27FC236}">
              <a16:creationId xmlns:a16="http://schemas.microsoft.com/office/drawing/2014/main" id="{4EA9480D-78BE-44D1-A08F-16B49E420347}"/>
            </a:ext>
          </a:extLst>
        </xdr:cNvPr>
        <xdr:cNvSpPr/>
      </xdr:nvSpPr>
      <xdr:spPr>
        <a:xfrm>
          <a:off x="123824" y="198120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5</xdr:col>
      <xdr:colOff>640468</xdr:colOff>
      <xdr:row>18</xdr:row>
      <xdr:rowOff>66675</xdr:rowOff>
    </xdr:to>
    <xdr:sp macro="" textlink="">
      <xdr:nvSpPr>
        <xdr:cNvPr id="5" name="Rectángulo: esquinas redondeadas 4">
          <a:extLst>
            <a:ext uri="{FF2B5EF4-FFF2-40B4-BE49-F238E27FC236}">
              <a16:creationId xmlns:a16="http://schemas.microsoft.com/office/drawing/2014/main" id="{7B773332-F95B-4136-9237-D2012A54A0D7}"/>
            </a:ext>
          </a:extLst>
        </xdr:cNvPr>
        <xdr:cNvSpPr/>
      </xdr:nvSpPr>
      <xdr:spPr>
        <a:xfrm>
          <a:off x="123824" y="39052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9524</xdr:colOff>
      <xdr:row>0</xdr:row>
      <xdr:rowOff>104775</xdr:rowOff>
    </xdr:from>
    <xdr:to>
      <xdr:col>5</xdr:col>
      <xdr:colOff>734484</xdr:colOff>
      <xdr:row>3</xdr:row>
      <xdr:rowOff>1058</xdr:rowOff>
    </xdr:to>
    <xdr:grpSp>
      <xdr:nvGrpSpPr>
        <xdr:cNvPr id="8" name="Grupo 7">
          <a:extLst>
            <a:ext uri="{FF2B5EF4-FFF2-40B4-BE49-F238E27FC236}">
              <a16:creationId xmlns:a16="http://schemas.microsoft.com/office/drawing/2014/main" id="{10BFBE19-71CD-4E99-BE75-156A80A886A2}"/>
            </a:ext>
          </a:extLst>
        </xdr:cNvPr>
        <xdr:cNvGrpSpPr/>
      </xdr:nvGrpSpPr>
      <xdr:grpSpPr>
        <a:xfrm>
          <a:off x="125941" y="104775"/>
          <a:ext cx="12207876" cy="436033"/>
          <a:chOff x="136524" y="104775"/>
          <a:chExt cx="13664143" cy="541867"/>
        </a:xfrm>
      </xdr:grpSpPr>
      <xdr:sp macro="" textlink="">
        <xdr:nvSpPr>
          <xdr:cNvPr id="9" name="Rectángulo: esquinas redondeadas 8">
            <a:extLst>
              <a:ext uri="{FF2B5EF4-FFF2-40B4-BE49-F238E27FC236}">
                <a16:creationId xmlns:a16="http://schemas.microsoft.com/office/drawing/2014/main" id="{9B1A7B96-2465-79EB-9D8E-0C16D1BC905B}"/>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B181FC9D-7A31-884E-049D-42029A0B8149}"/>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ESPACIOS</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AB055ACE-BF05-C04B-1F8B-F3FEF7946A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168274</xdr:colOff>
      <xdr:row>0</xdr:row>
      <xdr:rowOff>137584</xdr:rowOff>
    </xdr:from>
    <xdr:to>
      <xdr:col>1</xdr:col>
      <xdr:colOff>642408</xdr:colOff>
      <xdr:row>3</xdr:row>
      <xdr:rowOff>3197</xdr:rowOff>
    </xdr:to>
    <xdr:pic>
      <xdr:nvPicPr>
        <xdr:cNvPr id="34" name="Gráfico 33" descr="Left Brain con relleno sólido">
          <a:extLst>
            <a:ext uri="{FF2B5EF4-FFF2-40B4-BE49-F238E27FC236}">
              <a16:creationId xmlns:a16="http://schemas.microsoft.com/office/drawing/2014/main" id="{3D15901D-634F-4FD1-BB41-787C38E3E7E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92099" y="137584"/>
          <a:ext cx="470959" cy="518605"/>
        </a:xfrm>
        <a:prstGeom prst="rect">
          <a:avLst/>
        </a:prstGeom>
      </xdr:spPr>
    </xdr:pic>
    <xdr:clientData/>
  </xdr:twoCellAnchor>
  <xdr:twoCellAnchor editAs="oneCell">
    <xdr:from>
      <xdr:col>1</xdr:col>
      <xdr:colOff>63500</xdr:colOff>
      <xdr:row>11</xdr:row>
      <xdr:rowOff>0</xdr:rowOff>
    </xdr:from>
    <xdr:to>
      <xdr:col>2</xdr:col>
      <xdr:colOff>1120021</xdr:colOff>
      <xdr:row>15</xdr:row>
      <xdr:rowOff>178803</xdr:rowOff>
    </xdr:to>
    <xdr:grpSp>
      <xdr:nvGrpSpPr>
        <xdr:cNvPr id="79" name="Grupo 78">
          <a:extLst>
            <a:ext uri="{FF2B5EF4-FFF2-40B4-BE49-F238E27FC236}">
              <a16:creationId xmlns:a16="http://schemas.microsoft.com/office/drawing/2014/main" id="{4091E5BD-513F-4D8B-86AB-41AD9D776BB5}"/>
            </a:ext>
          </a:extLst>
        </xdr:cNvPr>
        <xdr:cNvGrpSpPr/>
      </xdr:nvGrpSpPr>
      <xdr:grpSpPr>
        <a:xfrm>
          <a:off x="179917" y="1979083"/>
          <a:ext cx="4062187" cy="898470"/>
          <a:chOff x="243568" y="5018653"/>
          <a:chExt cx="4440013" cy="1135536"/>
        </a:xfrm>
      </xdr:grpSpPr>
      <xdr:grpSp>
        <xdr:nvGrpSpPr>
          <xdr:cNvPr id="80" name="Grupo 79">
            <a:extLst>
              <a:ext uri="{FF2B5EF4-FFF2-40B4-BE49-F238E27FC236}">
                <a16:creationId xmlns:a16="http://schemas.microsoft.com/office/drawing/2014/main" id="{37FC4478-908A-5B90-07DF-5FB22501286E}"/>
              </a:ext>
            </a:extLst>
          </xdr:cNvPr>
          <xdr:cNvGrpSpPr/>
        </xdr:nvGrpSpPr>
        <xdr:grpSpPr>
          <a:xfrm>
            <a:off x="243568" y="5018653"/>
            <a:ext cx="4440013" cy="355148"/>
            <a:chOff x="276225" y="2009775"/>
            <a:chExt cx="4429127" cy="352426"/>
          </a:xfrm>
        </xdr:grpSpPr>
        <xdr:sp macro="" textlink="">
          <xdr:nvSpPr>
            <xdr:cNvPr id="83" name="Rectángulo: esquinas redondeadas 82">
              <a:extLst>
                <a:ext uri="{FF2B5EF4-FFF2-40B4-BE49-F238E27FC236}">
                  <a16:creationId xmlns:a16="http://schemas.microsoft.com/office/drawing/2014/main" id="{71F7E034-C2FD-981E-71E1-7C85BB074B6F}"/>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4" name="Rectángulo: esquinas redondeadas 83">
              <a:extLst>
                <a:ext uri="{FF2B5EF4-FFF2-40B4-BE49-F238E27FC236}">
                  <a16:creationId xmlns:a16="http://schemas.microsoft.com/office/drawing/2014/main" id="{A86ADE8E-AD35-5395-B1ED-949515076990}"/>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ESPACIOS</a:t>
              </a:r>
            </a:p>
          </xdr:txBody>
        </xdr:sp>
        <xdr:sp macro="" textlink="">
          <xdr:nvSpPr>
            <xdr:cNvPr id="85" name="Rectángulo: esquinas redondeadas 84">
              <a:extLst>
                <a:ext uri="{FF2B5EF4-FFF2-40B4-BE49-F238E27FC236}">
                  <a16:creationId xmlns:a16="http://schemas.microsoft.com/office/drawing/2014/main" id="{DAD26823-EFFD-A448-533D-81901EEFD616}"/>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6" name="Rectángulo: esquinas redondeadas 85">
              <a:extLst>
                <a:ext uri="{FF2B5EF4-FFF2-40B4-BE49-F238E27FC236}">
                  <a16:creationId xmlns:a16="http://schemas.microsoft.com/office/drawing/2014/main" id="{80CBAB06-41A0-6C42-B691-D080CC206A0C}"/>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87" name="Rectángulo: esquinas redondeadas 86">
              <a:extLst>
                <a:ext uri="{FF2B5EF4-FFF2-40B4-BE49-F238E27FC236}">
                  <a16:creationId xmlns:a16="http://schemas.microsoft.com/office/drawing/2014/main" id="{0A048E87-41D1-7F8D-8185-F586E161E861}"/>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81" name="Rectángulo: esquinas redondeadas 80">
            <a:extLst>
              <a:ext uri="{FF2B5EF4-FFF2-40B4-BE49-F238E27FC236}">
                <a16:creationId xmlns:a16="http://schemas.microsoft.com/office/drawing/2014/main" id="{702A28F7-1078-AE70-2693-6CAD299C53B9}"/>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de la cual deseas eliminar los espacios adicionales.</a:t>
            </a:r>
          </a:p>
        </xdr:txBody>
      </xdr:sp>
      <xdr:pic>
        <xdr:nvPicPr>
          <xdr:cNvPr id="82" name="Gráfico 81" descr="Information con relleno sólido">
            <a:extLst>
              <a:ext uri="{FF2B5EF4-FFF2-40B4-BE49-F238E27FC236}">
                <a16:creationId xmlns:a16="http://schemas.microsoft.com/office/drawing/2014/main" id="{DBCC9D55-9897-D5EF-5E17-9AD538726BB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49955" y="5570764"/>
            <a:ext cx="161925" cy="161925"/>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1540051</xdr:colOff>
      <xdr:row>4</xdr:row>
      <xdr:rowOff>177800</xdr:rowOff>
    </xdr:to>
    <xdr:sp macro="" textlink="">
      <xdr:nvSpPr>
        <xdr:cNvPr id="2" name="Rectángulo: esquinas redondeadas 1">
          <a:extLst>
            <a:ext uri="{FF2B5EF4-FFF2-40B4-BE49-F238E27FC236}">
              <a16:creationId xmlns:a16="http://schemas.microsoft.com/office/drawing/2014/main" id="{709AC976-F963-452B-B7AF-D82DDF5C9166}"/>
            </a:ext>
          </a:extLst>
        </xdr:cNvPr>
        <xdr:cNvSpPr/>
      </xdr:nvSpPr>
      <xdr:spPr>
        <a:xfrm>
          <a:off x="123824" y="8191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64860</xdr:rowOff>
    </xdr:from>
    <xdr:to>
      <xdr:col>8</xdr:col>
      <xdr:colOff>1583266</xdr:colOff>
      <xdr:row>7</xdr:row>
      <xdr:rowOff>177799</xdr:rowOff>
    </xdr:to>
    <xdr:sp macro="" textlink="">
      <xdr:nvSpPr>
        <xdr:cNvPr id="3" name="Rectángulo: esquinas redondeadas 2">
          <a:extLst>
            <a:ext uri="{FF2B5EF4-FFF2-40B4-BE49-F238E27FC236}">
              <a16:creationId xmlns:a16="http://schemas.microsoft.com/office/drawing/2014/main" id="{F7786D72-6B96-4D30-AFAC-F90266894300}"/>
            </a:ext>
          </a:extLst>
        </xdr:cNvPr>
        <xdr:cNvSpPr/>
      </xdr:nvSpPr>
      <xdr:spPr>
        <a:xfrm>
          <a:off x="155573" y="1207860"/>
          <a:ext cx="13586885" cy="61458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DERECHA (RIGHT en inglés) </a:t>
          </a:r>
          <a:r>
            <a:rPr lang="en-US" sz="1000" b="0">
              <a:solidFill>
                <a:schemeClr val="tx1"/>
              </a:solidFill>
              <a:latin typeface="Montserrat" panose="00000500000000000000" pitchFamily="2" charset="0"/>
              <a:ea typeface="+mn-ea"/>
              <a:cs typeface="+mn-cs"/>
            </a:rPr>
            <a:t>es una función en Excel que permite extraer una cantidad específica de caracteres desde el final (derecha) de una cadena de texto. Esta función es útil para extraer información específica de una cadena de texto más larga, como códigos, extensiones de archivo, o cualquier otro dato que se encuentre al final de una cadena.</a:t>
          </a:r>
        </a:p>
      </xdr:txBody>
    </xdr:sp>
    <xdr:clientData/>
  </xdr:twoCellAnchor>
  <xdr:twoCellAnchor editAs="oneCell">
    <xdr:from>
      <xdr:col>0</xdr:col>
      <xdr:colOff>123824</xdr:colOff>
      <xdr:row>8</xdr:row>
      <xdr:rowOff>152400</xdr:rowOff>
    </xdr:from>
    <xdr:to>
      <xdr:col>8</xdr:col>
      <xdr:colOff>1540051</xdr:colOff>
      <xdr:row>9</xdr:row>
      <xdr:rowOff>177800</xdr:rowOff>
    </xdr:to>
    <xdr:sp macro="" textlink="">
      <xdr:nvSpPr>
        <xdr:cNvPr id="4" name="Rectángulo: esquinas redondeadas 3">
          <a:extLst>
            <a:ext uri="{FF2B5EF4-FFF2-40B4-BE49-F238E27FC236}">
              <a16:creationId xmlns:a16="http://schemas.microsoft.com/office/drawing/2014/main" id="{D92245F5-E78B-4575-ACD8-B298F0069B98}"/>
            </a:ext>
          </a:extLst>
        </xdr:cNvPr>
        <xdr:cNvSpPr/>
      </xdr:nvSpPr>
      <xdr:spPr>
        <a:xfrm>
          <a:off x="123824" y="198120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1540051</xdr:colOff>
      <xdr:row>18</xdr:row>
      <xdr:rowOff>73025</xdr:rowOff>
    </xdr:to>
    <xdr:sp macro="" textlink="">
      <xdr:nvSpPr>
        <xdr:cNvPr id="5" name="Rectángulo: esquinas redondeadas 4">
          <a:extLst>
            <a:ext uri="{FF2B5EF4-FFF2-40B4-BE49-F238E27FC236}">
              <a16:creationId xmlns:a16="http://schemas.microsoft.com/office/drawing/2014/main" id="{5EFDFDB6-9596-4403-8A1F-0874C0282B49}"/>
            </a:ext>
          </a:extLst>
        </xdr:cNvPr>
        <xdr:cNvSpPr/>
      </xdr:nvSpPr>
      <xdr:spPr>
        <a:xfrm>
          <a:off x="123824" y="39052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34</xdr:row>
      <xdr:rowOff>0</xdr:rowOff>
    </xdr:from>
    <xdr:to>
      <xdr:col>8</xdr:col>
      <xdr:colOff>1566333</xdr:colOff>
      <xdr:row>35</xdr:row>
      <xdr:rowOff>53975</xdr:rowOff>
    </xdr:to>
    <xdr:sp macro="" textlink="">
      <xdr:nvSpPr>
        <xdr:cNvPr id="6" name="Rectángulo: esquinas redondeadas 5">
          <a:extLst>
            <a:ext uri="{FF2B5EF4-FFF2-40B4-BE49-F238E27FC236}">
              <a16:creationId xmlns:a16="http://schemas.microsoft.com/office/drawing/2014/main" id="{C05B244D-CFBE-41E5-9D84-B50398E3C26A}"/>
            </a:ext>
          </a:extLst>
        </xdr:cNvPr>
        <xdr:cNvSpPr/>
      </xdr:nvSpPr>
      <xdr:spPr>
        <a:xfrm>
          <a:off x="123825" y="7772400"/>
          <a:ext cx="13601700"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38</xdr:row>
      <xdr:rowOff>190500</xdr:rowOff>
    </xdr:from>
    <xdr:to>
      <xdr:col>8</xdr:col>
      <xdr:colOff>1598082</xdr:colOff>
      <xdr:row>41</xdr:row>
      <xdr:rowOff>73024</xdr:rowOff>
    </xdr:to>
    <xdr:sp macro="" textlink="">
      <xdr:nvSpPr>
        <xdr:cNvPr id="7" name="Rectángulo: esquinas redondeadas 6">
          <a:extLst>
            <a:ext uri="{FF2B5EF4-FFF2-40B4-BE49-F238E27FC236}">
              <a16:creationId xmlns:a16="http://schemas.microsoft.com/office/drawing/2014/main" id="{3FB69948-3F7C-43F7-B8FD-49101CC5DD51}"/>
            </a:ext>
          </a:extLst>
        </xdr:cNvPr>
        <xdr:cNvSpPr/>
      </xdr:nvSpPr>
      <xdr:spPr>
        <a:xfrm>
          <a:off x="95249" y="8877300"/>
          <a:ext cx="13658850" cy="56197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 último</a:t>
          </a:r>
          <a:r>
            <a:rPr lang="en-US" sz="1000" b="0" baseline="0">
              <a:solidFill>
                <a:schemeClr val="tx1"/>
              </a:solidFill>
              <a:latin typeface="Montserrat" panose="00000500000000000000" pitchFamily="2" charset="0"/>
              <a:ea typeface="+mn-ea"/>
              <a:cs typeface="+mn-cs"/>
            </a:rPr>
            <a:t> caracter del SKU</a:t>
          </a:r>
          <a:r>
            <a:rPr lang="en-US" sz="1000" b="0">
              <a:solidFill>
                <a:schemeClr val="tx1"/>
              </a:solidFill>
              <a:latin typeface="Montserrat" panose="00000500000000000000" pitchFamily="2" charset="0"/>
              <a:ea typeface="+mn-ea"/>
              <a:cs typeface="+mn-cs"/>
            </a:rPr>
            <a:t>.</a:t>
          </a:r>
        </a:p>
      </xdr:txBody>
    </xdr:sp>
    <xdr:clientData/>
  </xdr:twoCellAnchor>
  <xdr:twoCellAnchor editAs="oneCell">
    <xdr:from>
      <xdr:col>1</xdr:col>
      <xdr:colOff>9524</xdr:colOff>
      <xdr:row>0</xdr:row>
      <xdr:rowOff>104775</xdr:rowOff>
    </xdr:from>
    <xdr:to>
      <xdr:col>8</xdr:col>
      <xdr:colOff>1634067</xdr:colOff>
      <xdr:row>2</xdr:row>
      <xdr:rowOff>177800</xdr:rowOff>
    </xdr:to>
    <xdr:grpSp>
      <xdr:nvGrpSpPr>
        <xdr:cNvPr id="8" name="Grupo 7">
          <a:extLst>
            <a:ext uri="{FF2B5EF4-FFF2-40B4-BE49-F238E27FC236}">
              <a16:creationId xmlns:a16="http://schemas.microsoft.com/office/drawing/2014/main" id="{BE05B12C-ABC0-437D-BE19-FAD54DF9B7DB}"/>
            </a:ext>
          </a:extLst>
        </xdr:cNvPr>
        <xdr:cNvGrpSpPr/>
      </xdr:nvGrpSpPr>
      <xdr:grpSpPr>
        <a:xfrm>
          <a:off x="125941" y="104775"/>
          <a:ext cx="12313709" cy="432858"/>
          <a:chOff x="136524" y="104775"/>
          <a:chExt cx="13664143" cy="541867"/>
        </a:xfrm>
      </xdr:grpSpPr>
      <xdr:sp macro="" textlink="">
        <xdr:nvSpPr>
          <xdr:cNvPr id="9" name="Rectángulo: esquinas redondeadas 8">
            <a:extLst>
              <a:ext uri="{FF2B5EF4-FFF2-40B4-BE49-F238E27FC236}">
                <a16:creationId xmlns:a16="http://schemas.microsoft.com/office/drawing/2014/main" id="{0ECDBD80-68BB-D7E0-F71B-2B5E2EE8DC7C}"/>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795AF660-0C51-1F71-DA84-809BC0819F5B}"/>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DERECHA</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222B3FB5-7C94-E904-9245-44D0BA2716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67</xdr:row>
      <xdr:rowOff>28575</xdr:rowOff>
    </xdr:from>
    <xdr:to>
      <xdr:col>8</xdr:col>
      <xdr:colOff>1578152</xdr:colOff>
      <xdr:row>68</xdr:row>
      <xdr:rowOff>76198</xdr:rowOff>
    </xdr:to>
    <xdr:sp macro="" textlink="">
      <xdr:nvSpPr>
        <xdr:cNvPr id="12" name="Rectángulo: esquinas redondeadas 11">
          <a:extLst>
            <a:ext uri="{FF2B5EF4-FFF2-40B4-BE49-F238E27FC236}">
              <a16:creationId xmlns:a16="http://schemas.microsoft.com/office/drawing/2014/main" id="{E0AF6ADB-C979-4BC2-9AD9-21D62D9CEEB6}"/>
            </a:ext>
          </a:extLst>
        </xdr:cNvPr>
        <xdr:cNvSpPr/>
      </xdr:nvSpPr>
      <xdr:spPr>
        <a:xfrm>
          <a:off x="152400" y="15344775"/>
          <a:ext cx="13581769"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68</xdr:row>
      <xdr:rowOff>161925</xdr:rowOff>
    </xdr:from>
    <xdr:to>
      <xdr:col>8</xdr:col>
      <xdr:colOff>1615017</xdr:colOff>
      <xdr:row>71</xdr:row>
      <xdr:rowOff>151342</xdr:rowOff>
    </xdr:to>
    <xdr:sp macro="" textlink="">
      <xdr:nvSpPr>
        <xdr:cNvPr id="13" name="Rectángulo: esquinas redondeadas 12">
          <a:extLst>
            <a:ext uri="{FF2B5EF4-FFF2-40B4-BE49-F238E27FC236}">
              <a16:creationId xmlns:a16="http://schemas.microsoft.com/office/drawing/2014/main" id="{D69E92E3-B780-41D8-A0EA-86CC2C0D7DBA}"/>
            </a:ext>
          </a:extLst>
        </xdr:cNvPr>
        <xdr:cNvSpPr/>
      </xdr:nvSpPr>
      <xdr:spPr>
        <a:xfrm>
          <a:off x="184149" y="15706725"/>
          <a:ext cx="13586885" cy="6752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IZQUIERDA (LEFT en inglés) </a:t>
          </a:r>
          <a:r>
            <a:rPr lang="en-US" sz="1000" b="0">
              <a:solidFill>
                <a:schemeClr val="tx1"/>
              </a:solidFill>
              <a:latin typeface="Montserrat" panose="00000500000000000000" pitchFamily="2" charset="0"/>
              <a:ea typeface="+mn-ea"/>
              <a:cs typeface="+mn-cs"/>
            </a:rPr>
            <a:t>es una función en Excel que extrae una cantidad específica de caracteres desde el inicio (izquierda) de una cadena de texto. Es útil para separar información que se encuentra al principio de una cadena de texto, como códigos de identificación, prefijos, o cualquier dato relevante que esté posicionado al inicio de un texto.</a:t>
          </a:r>
        </a:p>
      </xdr:txBody>
    </xdr:sp>
    <xdr:clientData/>
  </xdr:twoCellAnchor>
  <xdr:twoCellAnchor editAs="oneCell">
    <xdr:from>
      <xdr:col>1</xdr:col>
      <xdr:colOff>14817</xdr:colOff>
      <xdr:row>72</xdr:row>
      <xdr:rowOff>65616</xdr:rowOff>
    </xdr:from>
    <xdr:to>
      <xdr:col>8</xdr:col>
      <xdr:colOff>1577094</xdr:colOff>
      <xdr:row>73</xdr:row>
      <xdr:rowOff>111125</xdr:rowOff>
    </xdr:to>
    <xdr:sp macro="" textlink="">
      <xdr:nvSpPr>
        <xdr:cNvPr id="14" name="Rectángulo: esquinas redondeadas 13">
          <a:extLst>
            <a:ext uri="{FF2B5EF4-FFF2-40B4-BE49-F238E27FC236}">
              <a16:creationId xmlns:a16="http://schemas.microsoft.com/office/drawing/2014/main" id="{FBA549A1-CF7E-4779-908F-8B9806B61733}"/>
            </a:ext>
          </a:extLst>
        </xdr:cNvPr>
        <xdr:cNvSpPr/>
      </xdr:nvSpPr>
      <xdr:spPr>
        <a:xfrm>
          <a:off x="138642" y="16524816"/>
          <a:ext cx="13588119" cy="26775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80</xdr:row>
      <xdr:rowOff>147108</xdr:rowOff>
    </xdr:from>
    <xdr:to>
      <xdr:col>8</xdr:col>
      <xdr:colOff>1578152</xdr:colOff>
      <xdr:row>82</xdr:row>
      <xdr:rowOff>2117</xdr:rowOff>
    </xdr:to>
    <xdr:sp macro="" textlink="">
      <xdr:nvSpPr>
        <xdr:cNvPr id="15" name="Rectángulo: esquinas redondeadas 14">
          <a:extLst>
            <a:ext uri="{FF2B5EF4-FFF2-40B4-BE49-F238E27FC236}">
              <a16:creationId xmlns:a16="http://schemas.microsoft.com/office/drawing/2014/main" id="{80C9EA4E-3B54-4D3B-8EB6-0BCA07D2F618}"/>
            </a:ext>
          </a:extLst>
        </xdr:cNvPr>
        <xdr:cNvSpPr/>
      </xdr:nvSpPr>
      <xdr:spPr>
        <a:xfrm>
          <a:off x="152400" y="18435108"/>
          <a:ext cx="13581769" cy="2730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xdr:colOff>
      <xdr:row>98</xdr:row>
      <xdr:rowOff>96308</xdr:rowOff>
    </xdr:from>
    <xdr:to>
      <xdr:col>8</xdr:col>
      <xdr:colOff>1579034</xdr:colOff>
      <xdr:row>99</xdr:row>
      <xdr:rowOff>150282</xdr:rowOff>
    </xdr:to>
    <xdr:sp macro="" textlink="">
      <xdr:nvSpPr>
        <xdr:cNvPr id="16" name="Rectángulo: esquinas redondeadas 15">
          <a:extLst>
            <a:ext uri="{FF2B5EF4-FFF2-40B4-BE49-F238E27FC236}">
              <a16:creationId xmlns:a16="http://schemas.microsoft.com/office/drawing/2014/main" id="{9B9FA6DC-8860-4EE4-AEB7-99FDF7EE80CF}"/>
            </a:ext>
          </a:extLst>
        </xdr:cNvPr>
        <xdr:cNvSpPr/>
      </xdr:nvSpPr>
      <xdr:spPr>
        <a:xfrm>
          <a:off x="127001" y="22913975"/>
          <a:ext cx="13602758" cy="27728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102</xdr:row>
      <xdr:rowOff>85724</xdr:rowOff>
    </xdr:from>
    <xdr:to>
      <xdr:col>8</xdr:col>
      <xdr:colOff>1639358</xdr:colOff>
      <xdr:row>105</xdr:row>
      <xdr:rowOff>2114</xdr:rowOff>
    </xdr:to>
    <xdr:sp macro="" textlink="">
      <xdr:nvSpPr>
        <xdr:cNvPr id="17" name="Rectángulo: esquinas redondeadas 16">
          <a:extLst>
            <a:ext uri="{FF2B5EF4-FFF2-40B4-BE49-F238E27FC236}">
              <a16:creationId xmlns:a16="http://schemas.microsoft.com/office/drawing/2014/main" id="{8F5D66FF-10F5-4136-A93F-9C318E64E7D1}"/>
            </a:ext>
          </a:extLst>
        </xdr:cNvPr>
        <xdr:cNvSpPr/>
      </xdr:nvSpPr>
      <xdr:spPr>
        <a:xfrm>
          <a:off x="123825" y="22717124"/>
          <a:ext cx="13674725" cy="563031"/>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 primer caracter del</a:t>
          </a:r>
          <a:r>
            <a:rPr lang="en-US" sz="1000" b="0" baseline="0">
              <a:solidFill>
                <a:schemeClr val="tx1"/>
              </a:solidFill>
              <a:latin typeface="Montserrat" panose="00000500000000000000" pitchFamily="2" charset="0"/>
              <a:ea typeface="+mn-ea"/>
              <a:cs typeface="+mn-cs"/>
            </a:rPr>
            <a:t> SKU</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44450</xdr:colOff>
      <xdr:row>64</xdr:row>
      <xdr:rowOff>0</xdr:rowOff>
    </xdr:from>
    <xdr:to>
      <xdr:col>8</xdr:col>
      <xdr:colOff>1691218</xdr:colOff>
      <xdr:row>66</xdr:row>
      <xdr:rowOff>73025</xdr:rowOff>
    </xdr:to>
    <xdr:grpSp>
      <xdr:nvGrpSpPr>
        <xdr:cNvPr id="18" name="Grupo 17">
          <a:extLst>
            <a:ext uri="{FF2B5EF4-FFF2-40B4-BE49-F238E27FC236}">
              <a16:creationId xmlns:a16="http://schemas.microsoft.com/office/drawing/2014/main" id="{E91E3793-D79E-424F-8ED7-3D7B2B665C48}"/>
            </a:ext>
          </a:extLst>
        </xdr:cNvPr>
        <xdr:cNvGrpSpPr/>
      </xdr:nvGrpSpPr>
      <xdr:grpSpPr>
        <a:xfrm>
          <a:off x="160867" y="11557000"/>
          <a:ext cx="12335934" cy="432858"/>
          <a:chOff x="136524" y="104775"/>
          <a:chExt cx="13664143" cy="541867"/>
        </a:xfrm>
      </xdr:grpSpPr>
      <xdr:sp macro="" textlink="">
        <xdr:nvSpPr>
          <xdr:cNvPr id="19" name="Rectángulo: esquinas redondeadas 18">
            <a:extLst>
              <a:ext uri="{FF2B5EF4-FFF2-40B4-BE49-F238E27FC236}">
                <a16:creationId xmlns:a16="http://schemas.microsoft.com/office/drawing/2014/main" id="{1E7AA5B2-282E-6BCD-7EAB-C6005848D2F7}"/>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91183845-1A05-DDC9-A09D-91A40FD54EB0}"/>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IZQUIERDA</a:t>
            </a:r>
          </a:p>
        </xdr:txBody>
      </xdr:sp>
      <xdr:pic>
        <xdr:nvPicPr>
          <xdr:cNvPr id="21" name="Gráfico 20" descr="Search Inventory con relleno sólido">
            <a:extLst>
              <a:ext uri="{FF2B5EF4-FFF2-40B4-BE49-F238E27FC236}">
                <a16:creationId xmlns:a16="http://schemas.microsoft.com/office/drawing/2014/main" id="{EBABC994-EAC8-41F8-F590-1782397F31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82966020-3C3A-038B-EAC9-A85033C200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124</xdr:row>
      <xdr:rowOff>197908</xdr:rowOff>
    </xdr:from>
    <xdr:to>
      <xdr:col>8</xdr:col>
      <xdr:colOff>1579210</xdr:colOff>
      <xdr:row>126</xdr:row>
      <xdr:rowOff>1762</xdr:rowOff>
    </xdr:to>
    <xdr:sp macro="" textlink="">
      <xdr:nvSpPr>
        <xdr:cNvPr id="23" name="Rectángulo: esquinas redondeadas 22">
          <a:extLst>
            <a:ext uri="{FF2B5EF4-FFF2-40B4-BE49-F238E27FC236}">
              <a16:creationId xmlns:a16="http://schemas.microsoft.com/office/drawing/2014/main" id="{99F17AA4-B1A9-426B-A0AC-91E77FF124D4}"/>
            </a:ext>
          </a:extLst>
        </xdr:cNvPr>
        <xdr:cNvSpPr/>
      </xdr:nvSpPr>
      <xdr:spPr>
        <a:xfrm>
          <a:off x="143933" y="27172708"/>
          <a:ext cx="13588119" cy="25823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126</xdr:row>
      <xdr:rowOff>77258</xdr:rowOff>
    </xdr:from>
    <xdr:to>
      <xdr:col>8</xdr:col>
      <xdr:colOff>1603375</xdr:colOff>
      <xdr:row>129</xdr:row>
      <xdr:rowOff>33867</xdr:rowOff>
    </xdr:to>
    <xdr:sp macro="" textlink="">
      <xdr:nvSpPr>
        <xdr:cNvPr id="24" name="Rectángulo: esquinas redondeadas 23">
          <a:extLst>
            <a:ext uri="{FF2B5EF4-FFF2-40B4-BE49-F238E27FC236}">
              <a16:creationId xmlns:a16="http://schemas.microsoft.com/office/drawing/2014/main" id="{49E88623-DAE2-4FFB-9E98-6CAF0102CD10}"/>
            </a:ext>
          </a:extLst>
        </xdr:cNvPr>
        <xdr:cNvSpPr/>
      </xdr:nvSpPr>
      <xdr:spPr>
        <a:xfrm>
          <a:off x="175682" y="27509258"/>
          <a:ext cx="13586885" cy="63605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EXTRAE (MID en inglés) </a:t>
          </a:r>
          <a:r>
            <a:rPr lang="en-US" sz="1000" b="0">
              <a:solidFill>
                <a:schemeClr val="tx1"/>
              </a:solidFill>
              <a:latin typeface="Montserrat" panose="00000500000000000000" pitchFamily="2" charset="0"/>
              <a:ea typeface="+mn-ea"/>
              <a:cs typeface="+mn-cs"/>
            </a:rPr>
            <a:t>es una función en Excel que se utiliza para extraer una subcadena de texto de una cadena más larga, comenzando en el punto que especifiques y extrayendo el número de caracteres que determines. A diferencia de IZQUIERDA y DERECHA, que extraen texto desde el inicio o el final de una cadena respectivamente, EXTRAE permite seleccionar un punto intermedio y extraer desde allí.</a:t>
          </a:r>
        </a:p>
      </xdr:txBody>
    </xdr:sp>
    <xdr:clientData/>
  </xdr:twoCellAnchor>
  <xdr:twoCellAnchor editAs="oneCell">
    <xdr:from>
      <xdr:col>1</xdr:col>
      <xdr:colOff>0</xdr:colOff>
      <xdr:row>129</xdr:row>
      <xdr:rowOff>150282</xdr:rowOff>
    </xdr:from>
    <xdr:to>
      <xdr:col>8</xdr:col>
      <xdr:colOff>1559102</xdr:colOff>
      <xdr:row>130</xdr:row>
      <xdr:rowOff>176741</xdr:rowOff>
    </xdr:to>
    <xdr:sp macro="" textlink="">
      <xdr:nvSpPr>
        <xdr:cNvPr id="25" name="Rectángulo: esquinas redondeadas 24">
          <a:extLst>
            <a:ext uri="{FF2B5EF4-FFF2-40B4-BE49-F238E27FC236}">
              <a16:creationId xmlns:a16="http://schemas.microsoft.com/office/drawing/2014/main" id="{657D6B6B-E041-4077-AD1D-80E846F1EF07}"/>
            </a:ext>
          </a:extLst>
        </xdr:cNvPr>
        <xdr:cNvSpPr/>
      </xdr:nvSpPr>
      <xdr:spPr>
        <a:xfrm>
          <a:off x="123825" y="28268082"/>
          <a:ext cx="13591294" cy="26140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139</xdr:row>
      <xdr:rowOff>116416</xdr:rowOff>
    </xdr:from>
    <xdr:to>
      <xdr:col>8</xdr:col>
      <xdr:colOff>1565452</xdr:colOff>
      <xdr:row>140</xdr:row>
      <xdr:rowOff>173567</xdr:rowOff>
    </xdr:to>
    <xdr:sp macro="" textlink="">
      <xdr:nvSpPr>
        <xdr:cNvPr id="26" name="Rectángulo: esquinas redondeadas 25">
          <a:extLst>
            <a:ext uri="{FF2B5EF4-FFF2-40B4-BE49-F238E27FC236}">
              <a16:creationId xmlns:a16="http://schemas.microsoft.com/office/drawing/2014/main" id="{F8D863FE-2929-4F31-AA5F-6F05706775E8}"/>
            </a:ext>
          </a:extLst>
        </xdr:cNvPr>
        <xdr:cNvSpPr/>
      </xdr:nvSpPr>
      <xdr:spPr>
        <a:xfrm>
          <a:off x="133350" y="30520216"/>
          <a:ext cx="13591294" cy="2857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101601</xdr:colOff>
      <xdr:row>159</xdr:row>
      <xdr:rowOff>89958</xdr:rowOff>
    </xdr:from>
    <xdr:to>
      <xdr:col>8</xdr:col>
      <xdr:colOff>1559984</xdr:colOff>
      <xdr:row>160</xdr:row>
      <xdr:rowOff>150281</xdr:rowOff>
    </xdr:to>
    <xdr:sp macro="" textlink="">
      <xdr:nvSpPr>
        <xdr:cNvPr id="27" name="Rectángulo: esquinas redondeadas 26">
          <a:extLst>
            <a:ext uri="{FF2B5EF4-FFF2-40B4-BE49-F238E27FC236}">
              <a16:creationId xmlns:a16="http://schemas.microsoft.com/office/drawing/2014/main" id="{989E421A-9A2B-477E-AAB3-ACD79536B0C8}"/>
            </a:ext>
          </a:extLst>
        </xdr:cNvPr>
        <xdr:cNvSpPr/>
      </xdr:nvSpPr>
      <xdr:spPr>
        <a:xfrm>
          <a:off x="101601" y="36411958"/>
          <a:ext cx="13612283" cy="28998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123825</xdr:colOff>
      <xdr:row>122</xdr:row>
      <xdr:rowOff>84667</xdr:rowOff>
    </xdr:from>
    <xdr:to>
      <xdr:col>8</xdr:col>
      <xdr:colOff>1634068</xdr:colOff>
      <xdr:row>124</xdr:row>
      <xdr:rowOff>112183</xdr:rowOff>
    </xdr:to>
    <xdr:grpSp>
      <xdr:nvGrpSpPr>
        <xdr:cNvPr id="28" name="Grupo 27">
          <a:extLst>
            <a:ext uri="{FF2B5EF4-FFF2-40B4-BE49-F238E27FC236}">
              <a16:creationId xmlns:a16="http://schemas.microsoft.com/office/drawing/2014/main" id="{39A06A6E-49BD-4F56-9A87-0C4F05BD7940}"/>
            </a:ext>
          </a:extLst>
        </xdr:cNvPr>
        <xdr:cNvGrpSpPr/>
      </xdr:nvGrpSpPr>
      <xdr:grpSpPr>
        <a:xfrm>
          <a:off x="114300" y="22119167"/>
          <a:ext cx="12325351" cy="387349"/>
          <a:chOff x="136524" y="104775"/>
          <a:chExt cx="13664143" cy="541867"/>
        </a:xfrm>
      </xdr:grpSpPr>
      <xdr:sp macro="" textlink="">
        <xdr:nvSpPr>
          <xdr:cNvPr id="29" name="Rectángulo: esquinas redondeadas 28">
            <a:extLst>
              <a:ext uri="{FF2B5EF4-FFF2-40B4-BE49-F238E27FC236}">
                <a16:creationId xmlns:a16="http://schemas.microsoft.com/office/drawing/2014/main" id="{1847ADC1-FB71-0E11-8B23-4BED644B5967}"/>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0" name="CuadroTexto 29">
            <a:extLst>
              <a:ext uri="{FF2B5EF4-FFF2-40B4-BE49-F238E27FC236}">
                <a16:creationId xmlns:a16="http://schemas.microsoft.com/office/drawing/2014/main" id="{1040EFE7-86A7-5E51-5BD1-C0CC418D7F4A}"/>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EXTRAE</a:t>
            </a:r>
          </a:p>
        </xdr:txBody>
      </xdr:sp>
      <xdr:pic>
        <xdr:nvPicPr>
          <xdr:cNvPr id="31" name="Gráfico 30" descr="Search Inventory con relleno sólido">
            <a:extLst>
              <a:ext uri="{FF2B5EF4-FFF2-40B4-BE49-F238E27FC236}">
                <a16:creationId xmlns:a16="http://schemas.microsoft.com/office/drawing/2014/main" id="{29D459F3-165C-AC7C-A55E-17389476957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32" name="Gráfico 31" descr="Circle with left arrow con relleno sólido">
            <a:hlinkClick xmlns:r="http://schemas.openxmlformats.org/officeDocument/2006/relationships" r:id="rId1"/>
            <a:extLst>
              <a:ext uri="{FF2B5EF4-FFF2-40B4-BE49-F238E27FC236}">
                <a16:creationId xmlns:a16="http://schemas.microsoft.com/office/drawing/2014/main" id="{EA46140D-2F35-C926-96A2-5FE47F915D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0</xdr:col>
      <xdr:colOff>84666</xdr:colOff>
      <xdr:row>163</xdr:row>
      <xdr:rowOff>74083</xdr:rowOff>
    </xdr:from>
    <xdr:to>
      <xdr:col>8</xdr:col>
      <xdr:colOff>1597024</xdr:colOff>
      <xdr:row>165</xdr:row>
      <xdr:rowOff>176738</xdr:rowOff>
    </xdr:to>
    <xdr:sp macro="" textlink="">
      <xdr:nvSpPr>
        <xdr:cNvPr id="33" name="Rectángulo: esquinas redondeadas 32">
          <a:extLst>
            <a:ext uri="{FF2B5EF4-FFF2-40B4-BE49-F238E27FC236}">
              <a16:creationId xmlns:a16="http://schemas.microsoft.com/office/drawing/2014/main" id="{C794317E-A42C-4622-8293-A0F34ADD02D3}"/>
            </a:ext>
          </a:extLst>
        </xdr:cNvPr>
        <xdr:cNvSpPr/>
      </xdr:nvSpPr>
      <xdr:spPr>
        <a:xfrm>
          <a:off x="84666" y="37327416"/>
          <a:ext cx="13672608" cy="57149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 texto después del último guion medio del SKU</a:t>
          </a:r>
          <a:r>
            <a:rPr lang="en-US" sz="1000" b="0" baseline="0">
              <a:solidFill>
                <a:schemeClr val="tx1"/>
              </a:solidFill>
              <a:latin typeface="Montserrat" panose="00000500000000000000" pitchFamily="2" charset="0"/>
              <a:ea typeface="+mn-ea"/>
              <a:cs typeface="+mn-cs"/>
            </a:rPr>
            <a:t>.</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168274</xdr:colOff>
      <xdr:row>0</xdr:row>
      <xdr:rowOff>137584</xdr:rowOff>
    </xdr:from>
    <xdr:to>
      <xdr:col>1</xdr:col>
      <xdr:colOff>645583</xdr:colOff>
      <xdr:row>2</xdr:row>
      <xdr:rowOff>176764</xdr:rowOff>
    </xdr:to>
    <xdr:pic>
      <xdr:nvPicPr>
        <xdr:cNvPr id="34" name="Gráfico 33" descr="Left Brain con relleno sólido">
          <a:extLst>
            <a:ext uri="{FF2B5EF4-FFF2-40B4-BE49-F238E27FC236}">
              <a16:creationId xmlns:a16="http://schemas.microsoft.com/office/drawing/2014/main" id="{56511B17-C829-4177-BEA4-A9975C053D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2099" y="137584"/>
          <a:ext cx="470959" cy="518605"/>
        </a:xfrm>
        <a:prstGeom prst="rect">
          <a:avLst/>
        </a:prstGeom>
      </xdr:spPr>
    </xdr:pic>
    <xdr:clientData/>
  </xdr:twoCellAnchor>
  <xdr:twoCellAnchor editAs="oneCell">
    <xdr:from>
      <xdr:col>1</xdr:col>
      <xdr:colOff>31750</xdr:colOff>
      <xdr:row>10</xdr:row>
      <xdr:rowOff>148167</xdr:rowOff>
    </xdr:from>
    <xdr:to>
      <xdr:col>4</xdr:col>
      <xdr:colOff>396877</xdr:colOff>
      <xdr:row>15</xdr:row>
      <xdr:rowOff>93342</xdr:rowOff>
    </xdr:to>
    <xdr:grpSp>
      <xdr:nvGrpSpPr>
        <xdr:cNvPr id="83" name="Grupo 82">
          <a:extLst>
            <a:ext uri="{FF2B5EF4-FFF2-40B4-BE49-F238E27FC236}">
              <a16:creationId xmlns:a16="http://schemas.microsoft.com/office/drawing/2014/main" id="{DA0A7BC0-6247-4AC4-B327-8DC6D5485D48}"/>
            </a:ext>
          </a:extLst>
        </xdr:cNvPr>
        <xdr:cNvGrpSpPr/>
      </xdr:nvGrpSpPr>
      <xdr:grpSpPr>
        <a:xfrm>
          <a:off x="148167" y="1947334"/>
          <a:ext cx="6080127" cy="844758"/>
          <a:chOff x="229961" y="3365726"/>
          <a:chExt cx="6800852" cy="1099817"/>
        </a:xfrm>
      </xdr:grpSpPr>
      <xdr:grpSp>
        <xdr:nvGrpSpPr>
          <xdr:cNvPr id="84" name="Grupo 83">
            <a:extLst>
              <a:ext uri="{FF2B5EF4-FFF2-40B4-BE49-F238E27FC236}">
                <a16:creationId xmlns:a16="http://schemas.microsoft.com/office/drawing/2014/main" id="{CF8C56E5-F185-F857-2CDC-DFBF9E089FC9}"/>
              </a:ext>
            </a:extLst>
          </xdr:cNvPr>
          <xdr:cNvGrpSpPr/>
        </xdr:nvGrpSpPr>
        <xdr:grpSpPr>
          <a:xfrm>
            <a:off x="229961" y="3365726"/>
            <a:ext cx="6800852" cy="355148"/>
            <a:chOff x="304800" y="1466850"/>
            <a:chExt cx="6781802" cy="352426"/>
          </a:xfrm>
        </xdr:grpSpPr>
        <xdr:sp macro="" textlink="">
          <xdr:nvSpPr>
            <xdr:cNvPr id="89" name="Rectángulo: esquinas redondeadas 88">
              <a:extLst>
                <a:ext uri="{FF2B5EF4-FFF2-40B4-BE49-F238E27FC236}">
                  <a16:creationId xmlns:a16="http://schemas.microsoft.com/office/drawing/2014/main" id="{F0424C1C-FD18-FDB5-57EB-1FD0E618A6C3}"/>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0" name="Rectángulo: esquinas redondeadas 89">
              <a:extLst>
                <a:ext uri="{FF2B5EF4-FFF2-40B4-BE49-F238E27FC236}">
                  <a16:creationId xmlns:a16="http://schemas.microsoft.com/office/drawing/2014/main" id="{2A120A00-3BAB-9DF1-C1E4-6A87ADCD37C1}"/>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DERECHA</a:t>
              </a:r>
            </a:p>
          </xdr:txBody>
        </xdr:sp>
        <xdr:sp macro="" textlink="">
          <xdr:nvSpPr>
            <xdr:cNvPr id="91" name="Rectángulo: esquinas redondeadas 90">
              <a:extLst>
                <a:ext uri="{FF2B5EF4-FFF2-40B4-BE49-F238E27FC236}">
                  <a16:creationId xmlns:a16="http://schemas.microsoft.com/office/drawing/2014/main" id="{B1BE1471-7FEF-C874-026E-B2C468128735}"/>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2" name="Rectángulo: esquinas redondeadas 91">
              <a:extLst>
                <a:ext uri="{FF2B5EF4-FFF2-40B4-BE49-F238E27FC236}">
                  <a16:creationId xmlns:a16="http://schemas.microsoft.com/office/drawing/2014/main" id="{4CEADE24-A8B4-4B31-8057-50C9F2865B28}"/>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93" name="Rectángulo: esquinas redondeadas 92">
              <a:extLst>
                <a:ext uri="{FF2B5EF4-FFF2-40B4-BE49-F238E27FC236}">
                  <a16:creationId xmlns:a16="http://schemas.microsoft.com/office/drawing/2014/main" id="{B91248A5-536A-A68C-B7AF-F278870B6BF7}"/>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Núm de Caracteres</a:t>
              </a:r>
            </a:p>
          </xdr:txBody>
        </xdr:sp>
        <xdr:sp macro="" textlink="">
          <xdr:nvSpPr>
            <xdr:cNvPr id="94" name="Rectángulo: esquinas redondeadas 93">
              <a:extLst>
                <a:ext uri="{FF2B5EF4-FFF2-40B4-BE49-F238E27FC236}">
                  <a16:creationId xmlns:a16="http://schemas.microsoft.com/office/drawing/2014/main" id="{A719F504-2238-0DA2-8F58-73F9B45524BA}"/>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5" name="Rectángulo: esquinas redondeadas 94">
              <a:extLst>
                <a:ext uri="{FF2B5EF4-FFF2-40B4-BE49-F238E27FC236}">
                  <a16:creationId xmlns:a16="http://schemas.microsoft.com/office/drawing/2014/main" id="{3F9E4D3B-81D8-7E41-5576-BAB47EC149A1}"/>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85" name="Rectángulo: esquinas redondeadas 84">
            <a:extLst>
              <a:ext uri="{FF2B5EF4-FFF2-40B4-BE49-F238E27FC236}">
                <a16:creationId xmlns:a16="http://schemas.microsoft.com/office/drawing/2014/main" id="{E4C3E3DE-33E9-7F08-7986-C84ACD21CC6A}"/>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de la cual deseas extraer caracteres.</a:t>
            </a:r>
          </a:p>
        </xdr:txBody>
      </xdr:sp>
      <xdr:pic>
        <xdr:nvPicPr>
          <xdr:cNvPr id="86" name="Gráfico 85" descr="Information con relleno sólido">
            <a:extLst>
              <a:ext uri="{FF2B5EF4-FFF2-40B4-BE49-F238E27FC236}">
                <a16:creationId xmlns:a16="http://schemas.microsoft.com/office/drawing/2014/main" id="{2C8B7CDF-C929-2CB0-C244-A084EAAD10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sp macro="" textlink="">
        <xdr:nvSpPr>
          <xdr:cNvPr id="87" name="Rectángulo: esquinas redondeadas 86">
            <a:extLst>
              <a:ext uri="{FF2B5EF4-FFF2-40B4-BE49-F238E27FC236}">
                <a16:creationId xmlns:a16="http://schemas.microsoft.com/office/drawing/2014/main" id="{3EE186DB-6A05-F4CB-F06B-2D25F7DC06A3}"/>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caracteres que deseas extraer desde el final de la cadena. Si se omite, Excel asume 1 por defecto.</a:t>
            </a:r>
          </a:p>
        </xdr:txBody>
      </xdr:sp>
      <xdr:pic>
        <xdr:nvPicPr>
          <xdr:cNvPr id="88" name="Gráfico 87" descr="Information con relleno sólido">
            <a:extLst>
              <a:ext uri="{FF2B5EF4-FFF2-40B4-BE49-F238E27FC236}">
                <a16:creationId xmlns:a16="http://schemas.microsoft.com/office/drawing/2014/main" id="{351A8714-3173-9BF6-BE26-D6983C2C57A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79497" y="3872593"/>
            <a:ext cx="161925" cy="161925"/>
          </a:xfrm>
          <a:prstGeom prst="rect">
            <a:avLst/>
          </a:prstGeom>
        </xdr:spPr>
      </xdr:pic>
    </xdr:grpSp>
    <xdr:clientData/>
  </xdr:twoCellAnchor>
  <xdr:twoCellAnchor editAs="oneCell">
    <xdr:from>
      <xdr:col>1</xdr:col>
      <xdr:colOff>74083</xdr:colOff>
      <xdr:row>74</xdr:row>
      <xdr:rowOff>158750</xdr:rowOff>
    </xdr:from>
    <xdr:to>
      <xdr:col>4</xdr:col>
      <xdr:colOff>436035</xdr:colOff>
      <xdr:row>79</xdr:row>
      <xdr:rowOff>94401</xdr:rowOff>
    </xdr:to>
    <xdr:grpSp>
      <xdr:nvGrpSpPr>
        <xdr:cNvPr id="96" name="Grupo 95">
          <a:extLst>
            <a:ext uri="{FF2B5EF4-FFF2-40B4-BE49-F238E27FC236}">
              <a16:creationId xmlns:a16="http://schemas.microsoft.com/office/drawing/2014/main" id="{5CB64E24-AE4E-4818-93A8-3F2EC5DC24BE}"/>
            </a:ext>
          </a:extLst>
        </xdr:cNvPr>
        <xdr:cNvGrpSpPr/>
      </xdr:nvGrpSpPr>
      <xdr:grpSpPr>
        <a:xfrm>
          <a:off x="190500" y="13514917"/>
          <a:ext cx="6076952" cy="835234"/>
          <a:chOff x="229961" y="3365726"/>
          <a:chExt cx="6800852" cy="1099817"/>
        </a:xfrm>
      </xdr:grpSpPr>
      <xdr:grpSp>
        <xdr:nvGrpSpPr>
          <xdr:cNvPr id="97" name="Grupo 96">
            <a:extLst>
              <a:ext uri="{FF2B5EF4-FFF2-40B4-BE49-F238E27FC236}">
                <a16:creationId xmlns:a16="http://schemas.microsoft.com/office/drawing/2014/main" id="{24DD76AF-BF23-8F26-4349-01228953D602}"/>
              </a:ext>
            </a:extLst>
          </xdr:cNvPr>
          <xdr:cNvGrpSpPr/>
        </xdr:nvGrpSpPr>
        <xdr:grpSpPr>
          <a:xfrm>
            <a:off x="229961" y="3365726"/>
            <a:ext cx="6800852" cy="355148"/>
            <a:chOff x="304800" y="1466850"/>
            <a:chExt cx="6781802" cy="352426"/>
          </a:xfrm>
        </xdr:grpSpPr>
        <xdr:sp macro="" textlink="">
          <xdr:nvSpPr>
            <xdr:cNvPr id="102" name="Rectángulo: esquinas redondeadas 101">
              <a:extLst>
                <a:ext uri="{FF2B5EF4-FFF2-40B4-BE49-F238E27FC236}">
                  <a16:creationId xmlns:a16="http://schemas.microsoft.com/office/drawing/2014/main" id="{FC8C2706-618B-3BCD-862A-6BFAA79237B9}"/>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3" name="Rectángulo: esquinas redondeadas 102">
              <a:extLst>
                <a:ext uri="{FF2B5EF4-FFF2-40B4-BE49-F238E27FC236}">
                  <a16:creationId xmlns:a16="http://schemas.microsoft.com/office/drawing/2014/main" id="{DE2CB017-B30F-A315-F8AA-C9C2EDB25088}"/>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IZQUIERDA</a:t>
              </a:r>
            </a:p>
          </xdr:txBody>
        </xdr:sp>
        <xdr:sp macro="" textlink="">
          <xdr:nvSpPr>
            <xdr:cNvPr id="104" name="Rectángulo: esquinas redondeadas 103">
              <a:extLst>
                <a:ext uri="{FF2B5EF4-FFF2-40B4-BE49-F238E27FC236}">
                  <a16:creationId xmlns:a16="http://schemas.microsoft.com/office/drawing/2014/main" id="{C08AC633-B340-251F-EBBD-89969B7E86EE}"/>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5" name="Rectángulo: esquinas redondeadas 104">
              <a:extLst>
                <a:ext uri="{FF2B5EF4-FFF2-40B4-BE49-F238E27FC236}">
                  <a16:creationId xmlns:a16="http://schemas.microsoft.com/office/drawing/2014/main" id="{94DAEC4D-09F1-A72B-1AD0-998C480A599B}"/>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06" name="Rectángulo: esquinas redondeadas 105">
              <a:extLst>
                <a:ext uri="{FF2B5EF4-FFF2-40B4-BE49-F238E27FC236}">
                  <a16:creationId xmlns:a16="http://schemas.microsoft.com/office/drawing/2014/main" id="{B96FCA2D-1835-C976-29AD-6E37C102B877}"/>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Núm de Caracteres</a:t>
              </a:r>
            </a:p>
          </xdr:txBody>
        </xdr:sp>
        <xdr:sp macro="" textlink="">
          <xdr:nvSpPr>
            <xdr:cNvPr id="107" name="Rectángulo: esquinas redondeadas 106">
              <a:extLst>
                <a:ext uri="{FF2B5EF4-FFF2-40B4-BE49-F238E27FC236}">
                  <a16:creationId xmlns:a16="http://schemas.microsoft.com/office/drawing/2014/main" id="{882FBAA6-2BE9-CEF8-996E-CCC2E811FDB6}"/>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8" name="Rectángulo: esquinas redondeadas 107">
              <a:extLst>
                <a:ext uri="{FF2B5EF4-FFF2-40B4-BE49-F238E27FC236}">
                  <a16:creationId xmlns:a16="http://schemas.microsoft.com/office/drawing/2014/main" id="{97034313-7297-DADB-40D1-7DB5C8CA9919}"/>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98" name="Rectángulo: esquinas redondeadas 97">
            <a:extLst>
              <a:ext uri="{FF2B5EF4-FFF2-40B4-BE49-F238E27FC236}">
                <a16:creationId xmlns:a16="http://schemas.microsoft.com/office/drawing/2014/main" id="{6DA6013D-6446-D987-E937-2AE70CAB0910}"/>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de la cual deseas extraer caracteres.</a:t>
            </a:r>
          </a:p>
        </xdr:txBody>
      </xdr:sp>
      <xdr:pic>
        <xdr:nvPicPr>
          <xdr:cNvPr id="99" name="Gráfico 98" descr="Information con relleno sólido">
            <a:extLst>
              <a:ext uri="{FF2B5EF4-FFF2-40B4-BE49-F238E27FC236}">
                <a16:creationId xmlns:a16="http://schemas.microsoft.com/office/drawing/2014/main" id="{DD73B5C3-09D7-DB4B-F8FC-619BD5BFCB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sp macro="" textlink="">
        <xdr:nvSpPr>
          <xdr:cNvPr id="100" name="Rectángulo: esquinas redondeadas 99">
            <a:extLst>
              <a:ext uri="{FF2B5EF4-FFF2-40B4-BE49-F238E27FC236}">
                <a16:creationId xmlns:a16="http://schemas.microsoft.com/office/drawing/2014/main" id="{70117D5D-3F32-3333-E806-250D5FCB25DF}"/>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caracteres que deseas extraer desde el inicio de la cadena. Si se omite, Excel extrae 1 carácter por defecto.</a:t>
            </a:r>
          </a:p>
        </xdr:txBody>
      </xdr:sp>
      <xdr:pic>
        <xdr:nvPicPr>
          <xdr:cNvPr id="101" name="Gráfico 100" descr="Information con relleno sólido">
            <a:extLst>
              <a:ext uri="{FF2B5EF4-FFF2-40B4-BE49-F238E27FC236}">
                <a16:creationId xmlns:a16="http://schemas.microsoft.com/office/drawing/2014/main" id="{57B04FE2-D21E-824B-FCB5-07FE5C13271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79497" y="3872593"/>
            <a:ext cx="161925" cy="161925"/>
          </a:xfrm>
          <a:prstGeom prst="rect">
            <a:avLst/>
          </a:prstGeom>
        </xdr:spPr>
      </xdr:pic>
    </xdr:grpSp>
    <xdr:clientData/>
  </xdr:twoCellAnchor>
  <xdr:twoCellAnchor editAs="oneCell">
    <xdr:from>
      <xdr:col>1</xdr:col>
      <xdr:colOff>74083</xdr:colOff>
      <xdr:row>131</xdr:row>
      <xdr:rowOff>207432</xdr:rowOff>
    </xdr:from>
    <xdr:to>
      <xdr:col>5</xdr:col>
      <xdr:colOff>915611</xdr:colOff>
      <xdr:row>136</xdr:row>
      <xdr:rowOff>129249</xdr:rowOff>
    </xdr:to>
    <xdr:grpSp>
      <xdr:nvGrpSpPr>
        <xdr:cNvPr id="109" name="Grupo 108">
          <a:extLst>
            <a:ext uri="{FF2B5EF4-FFF2-40B4-BE49-F238E27FC236}">
              <a16:creationId xmlns:a16="http://schemas.microsoft.com/office/drawing/2014/main" id="{CCE077C5-CAA7-47E3-A770-CECD122AB6DA}"/>
            </a:ext>
          </a:extLst>
        </xdr:cNvPr>
        <xdr:cNvGrpSpPr/>
      </xdr:nvGrpSpPr>
      <xdr:grpSpPr>
        <a:xfrm>
          <a:off x="190500" y="23832607"/>
          <a:ext cx="8133444" cy="849975"/>
          <a:chOff x="276225" y="352425"/>
          <a:chExt cx="9029702" cy="1078725"/>
        </a:xfrm>
      </xdr:grpSpPr>
      <xdr:grpSp>
        <xdr:nvGrpSpPr>
          <xdr:cNvPr id="110" name="Grupo 109">
            <a:extLst>
              <a:ext uri="{FF2B5EF4-FFF2-40B4-BE49-F238E27FC236}">
                <a16:creationId xmlns:a16="http://schemas.microsoft.com/office/drawing/2014/main" id="{ADD2F0B7-475C-29FA-CEDA-F9B78C09AA9A}"/>
              </a:ext>
            </a:extLst>
          </xdr:cNvPr>
          <xdr:cNvGrpSpPr/>
        </xdr:nvGrpSpPr>
        <xdr:grpSpPr>
          <a:xfrm>
            <a:off x="276225" y="352425"/>
            <a:ext cx="9029702" cy="352426"/>
            <a:chOff x="142874" y="2266950"/>
            <a:chExt cx="9029702" cy="352426"/>
          </a:xfrm>
        </xdr:grpSpPr>
        <xdr:sp macro="" textlink="">
          <xdr:nvSpPr>
            <xdr:cNvPr id="118" name="Rectángulo: esquinas redondeadas 117">
              <a:extLst>
                <a:ext uri="{FF2B5EF4-FFF2-40B4-BE49-F238E27FC236}">
                  <a16:creationId xmlns:a16="http://schemas.microsoft.com/office/drawing/2014/main" id="{9BAFAE82-4443-CD46-3E4E-D3C43B2DBA2C}"/>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9" name="Rectángulo: esquinas redondeadas 118">
              <a:extLst>
                <a:ext uri="{FF2B5EF4-FFF2-40B4-BE49-F238E27FC236}">
                  <a16:creationId xmlns:a16="http://schemas.microsoft.com/office/drawing/2014/main" id="{E99CA92F-E951-59D6-8307-8126CBE74CA3}"/>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EXTRAE</a:t>
              </a:r>
            </a:p>
          </xdr:txBody>
        </xdr:sp>
        <xdr:sp macro="" textlink="">
          <xdr:nvSpPr>
            <xdr:cNvPr id="120" name="Rectángulo: esquinas redondeadas 119">
              <a:extLst>
                <a:ext uri="{FF2B5EF4-FFF2-40B4-BE49-F238E27FC236}">
                  <a16:creationId xmlns:a16="http://schemas.microsoft.com/office/drawing/2014/main" id="{C7D9B171-D951-BC2B-55D5-3E1B8E2110CE}"/>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1" name="Rectángulo: esquinas redondeadas 120">
              <a:extLst>
                <a:ext uri="{FF2B5EF4-FFF2-40B4-BE49-F238E27FC236}">
                  <a16:creationId xmlns:a16="http://schemas.microsoft.com/office/drawing/2014/main" id="{7A192610-3619-46E1-4153-2AF60A41E762}"/>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22" name="Rectángulo: esquinas redondeadas 121">
              <a:extLst>
                <a:ext uri="{FF2B5EF4-FFF2-40B4-BE49-F238E27FC236}">
                  <a16:creationId xmlns:a16="http://schemas.microsoft.com/office/drawing/2014/main" id="{388942D8-BA5B-01E6-6ECE-8A337A47CBAA}"/>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Posición Inicial</a:t>
              </a:r>
            </a:p>
          </xdr:txBody>
        </xdr:sp>
        <xdr:sp macro="" textlink="">
          <xdr:nvSpPr>
            <xdr:cNvPr id="123" name="Rectángulo: esquinas redondeadas 122">
              <a:extLst>
                <a:ext uri="{FF2B5EF4-FFF2-40B4-BE49-F238E27FC236}">
                  <a16:creationId xmlns:a16="http://schemas.microsoft.com/office/drawing/2014/main" id="{813880E5-E269-0B0D-74CD-FEA38B7C846F}"/>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Núm de Caracteres</a:t>
              </a:r>
            </a:p>
          </xdr:txBody>
        </xdr:sp>
        <xdr:sp macro="" textlink="">
          <xdr:nvSpPr>
            <xdr:cNvPr id="124" name="Rectángulo: esquinas redondeadas 123">
              <a:extLst>
                <a:ext uri="{FF2B5EF4-FFF2-40B4-BE49-F238E27FC236}">
                  <a16:creationId xmlns:a16="http://schemas.microsoft.com/office/drawing/2014/main" id="{0E597E60-E293-B88E-EE0E-25E9E2402CB8}"/>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5" name="Rectángulo: esquinas redondeadas 124">
              <a:extLst>
                <a:ext uri="{FF2B5EF4-FFF2-40B4-BE49-F238E27FC236}">
                  <a16:creationId xmlns:a16="http://schemas.microsoft.com/office/drawing/2014/main" id="{3AF7F4D6-C88D-7D3B-FD2A-2A3E599284B7}"/>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6" name="Rectángulo: esquinas redondeadas 125">
              <a:extLst>
                <a:ext uri="{FF2B5EF4-FFF2-40B4-BE49-F238E27FC236}">
                  <a16:creationId xmlns:a16="http://schemas.microsoft.com/office/drawing/2014/main" id="{FC2E7627-EF1F-0838-A25E-A21EEA6DF29D}"/>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111" name="Grupo 110">
            <a:extLst>
              <a:ext uri="{FF2B5EF4-FFF2-40B4-BE49-F238E27FC236}">
                <a16:creationId xmlns:a16="http://schemas.microsoft.com/office/drawing/2014/main" id="{3DA79506-816B-DB6F-A333-AA271295E0AD}"/>
              </a:ext>
            </a:extLst>
          </xdr:cNvPr>
          <xdr:cNvGrpSpPr/>
        </xdr:nvGrpSpPr>
        <xdr:grpSpPr>
          <a:xfrm>
            <a:off x="2324100" y="817301"/>
            <a:ext cx="6580575" cy="613849"/>
            <a:chOff x="2190749" y="2846126"/>
            <a:chExt cx="6580575" cy="613849"/>
          </a:xfrm>
        </xdr:grpSpPr>
        <xdr:sp macro="" textlink="">
          <xdr:nvSpPr>
            <xdr:cNvPr id="112" name="Rectángulo: esquinas redondeadas 111">
              <a:extLst>
                <a:ext uri="{FF2B5EF4-FFF2-40B4-BE49-F238E27FC236}">
                  <a16:creationId xmlns:a16="http://schemas.microsoft.com/office/drawing/2014/main" id="{698592D3-C8EE-E3EB-CBAD-234DD6655C14}"/>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completa de la cual deseas extraer una subcadena.</a:t>
              </a:r>
            </a:p>
          </xdr:txBody>
        </xdr:sp>
        <xdr:pic>
          <xdr:nvPicPr>
            <xdr:cNvPr id="113" name="Gráfico 112" descr="Information con relleno sólido">
              <a:extLst>
                <a:ext uri="{FF2B5EF4-FFF2-40B4-BE49-F238E27FC236}">
                  <a16:creationId xmlns:a16="http://schemas.microsoft.com/office/drawing/2014/main" id="{84AF559E-0F4A-C342-A528-08727273D7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28850" y="2876550"/>
              <a:ext cx="161925" cy="161925"/>
            </a:xfrm>
            <a:prstGeom prst="rect">
              <a:avLst/>
            </a:prstGeom>
          </xdr:spPr>
        </xdr:pic>
        <xdr:sp macro="" textlink="">
          <xdr:nvSpPr>
            <xdr:cNvPr id="114" name="Rectángulo: esquinas redondeadas 113">
              <a:extLst>
                <a:ext uri="{FF2B5EF4-FFF2-40B4-BE49-F238E27FC236}">
                  <a16:creationId xmlns:a16="http://schemas.microsoft.com/office/drawing/2014/main" id="{85E54BE9-B073-DC72-F4D7-F0835826381F}"/>
                </a:ext>
              </a:extLst>
            </xdr:cNvPr>
            <xdr:cNvSpPr/>
          </xdr:nvSpPr>
          <xdr:spPr>
            <a:xfrm>
              <a:off x="4543424" y="2846126"/>
              <a:ext cx="1980000" cy="613849"/>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posición del primer carácter de la subcadena que quieres extraer. El primer carácter de la cadena completa es 1.</a:t>
              </a:r>
            </a:p>
          </xdr:txBody>
        </xdr:sp>
        <xdr:pic>
          <xdr:nvPicPr>
            <xdr:cNvPr id="115" name="Gráfico 114" descr="Information con relleno sólido">
              <a:extLst>
                <a:ext uri="{FF2B5EF4-FFF2-40B4-BE49-F238E27FC236}">
                  <a16:creationId xmlns:a16="http://schemas.microsoft.com/office/drawing/2014/main" id="{AD19ECEB-7993-5606-C065-26BBC992168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81525" y="2867025"/>
              <a:ext cx="161925" cy="161925"/>
            </a:xfrm>
            <a:prstGeom prst="rect">
              <a:avLst/>
            </a:prstGeom>
          </xdr:spPr>
        </xdr:pic>
        <xdr:sp macro="" textlink="">
          <xdr:nvSpPr>
            <xdr:cNvPr id="116" name="Rectángulo: esquinas redondeadas 115">
              <a:extLst>
                <a:ext uri="{FF2B5EF4-FFF2-40B4-BE49-F238E27FC236}">
                  <a16:creationId xmlns:a16="http://schemas.microsoft.com/office/drawing/2014/main" id="{F0FA7BFB-BDF0-9EEB-263A-A7A02A170D12}"/>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caracteres de la subcadena que deseas extraer a partir de la posición de inicio.</a:t>
              </a:r>
            </a:p>
          </xdr:txBody>
        </xdr:sp>
        <xdr:pic>
          <xdr:nvPicPr>
            <xdr:cNvPr id="117" name="Gráfico 116" descr="Information con relleno sólido">
              <a:extLst>
                <a:ext uri="{FF2B5EF4-FFF2-40B4-BE49-F238E27FC236}">
                  <a16:creationId xmlns:a16="http://schemas.microsoft.com/office/drawing/2014/main" id="{3F89118C-869B-226D-534B-0A8E21C7627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829425" y="2857500"/>
              <a:ext cx="161925" cy="161925"/>
            </a:xfrm>
            <a:prstGeom prst="rect">
              <a:avLst/>
            </a:prstGeom>
          </xdr:spPr>
        </xdr:pic>
      </xdr:grp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975959</xdr:colOff>
      <xdr:row>5</xdr:row>
      <xdr:rowOff>0</xdr:rowOff>
    </xdr:to>
    <xdr:sp macro="" textlink="">
      <xdr:nvSpPr>
        <xdr:cNvPr id="2" name="Rectángulo: esquinas redondeadas 1">
          <a:extLst>
            <a:ext uri="{FF2B5EF4-FFF2-40B4-BE49-F238E27FC236}">
              <a16:creationId xmlns:a16="http://schemas.microsoft.com/office/drawing/2014/main" id="{72635186-39C0-4651-AACD-138A7516F7EE}"/>
            </a:ext>
          </a:extLst>
        </xdr:cNvPr>
        <xdr:cNvSpPr/>
      </xdr:nvSpPr>
      <xdr:spPr>
        <a:xfrm>
          <a:off x="123824" y="8191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64860</xdr:rowOff>
    </xdr:from>
    <xdr:to>
      <xdr:col>8</xdr:col>
      <xdr:colOff>1025524</xdr:colOff>
      <xdr:row>7</xdr:row>
      <xdr:rowOff>177799</xdr:rowOff>
    </xdr:to>
    <xdr:sp macro="" textlink="">
      <xdr:nvSpPr>
        <xdr:cNvPr id="3" name="Rectángulo: esquinas redondeadas 2">
          <a:extLst>
            <a:ext uri="{FF2B5EF4-FFF2-40B4-BE49-F238E27FC236}">
              <a16:creationId xmlns:a16="http://schemas.microsoft.com/office/drawing/2014/main" id="{1D4A7627-AEF5-4EC9-9DA5-6DE642667ECA}"/>
            </a:ext>
          </a:extLst>
        </xdr:cNvPr>
        <xdr:cNvSpPr/>
      </xdr:nvSpPr>
      <xdr:spPr>
        <a:xfrm>
          <a:off x="158748" y="1229027"/>
          <a:ext cx="13584768" cy="62305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LARGO (LEN en inglés) </a:t>
          </a:r>
          <a:r>
            <a:rPr lang="en-US" sz="1000" b="0">
              <a:solidFill>
                <a:schemeClr val="tx1"/>
              </a:solidFill>
              <a:latin typeface="Montserrat" panose="00000500000000000000" pitchFamily="2" charset="0"/>
              <a:ea typeface="+mn-ea"/>
              <a:cs typeface="+mn-cs"/>
            </a:rPr>
            <a:t>es una función en Excel que devuelve el número de caracteres en una cadena de texto. Esto incluye todos los caracteres presentes, como letras, números, espacios y símbolos de puntuación. La función LARGO es útil para varias tareas, como validar la longitud del texto, procesar y limpiar datos de texto, o simplemente para obtener información sobre la cantidad de caracteres en celdas específicas.</a:t>
          </a:r>
        </a:p>
      </xdr:txBody>
    </xdr:sp>
    <xdr:clientData/>
  </xdr:twoCellAnchor>
  <xdr:twoCellAnchor editAs="oneCell">
    <xdr:from>
      <xdr:col>0</xdr:col>
      <xdr:colOff>123824</xdr:colOff>
      <xdr:row>8</xdr:row>
      <xdr:rowOff>152400</xdr:rowOff>
    </xdr:from>
    <xdr:to>
      <xdr:col>8</xdr:col>
      <xdr:colOff>975959</xdr:colOff>
      <xdr:row>10</xdr:row>
      <xdr:rowOff>0</xdr:rowOff>
    </xdr:to>
    <xdr:sp macro="" textlink="">
      <xdr:nvSpPr>
        <xdr:cNvPr id="4" name="Rectángulo: esquinas redondeadas 3">
          <a:extLst>
            <a:ext uri="{FF2B5EF4-FFF2-40B4-BE49-F238E27FC236}">
              <a16:creationId xmlns:a16="http://schemas.microsoft.com/office/drawing/2014/main" id="{B48E0FD7-6264-46BC-91F9-E9B1E3F4AE49}"/>
            </a:ext>
          </a:extLst>
        </xdr:cNvPr>
        <xdr:cNvSpPr/>
      </xdr:nvSpPr>
      <xdr:spPr>
        <a:xfrm>
          <a:off x="123824" y="2015067"/>
          <a:ext cx="13573302" cy="27728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975959</xdr:colOff>
      <xdr:row>18</xdr:row>
      <xdr:rowOff>73025</xdr:rowOff>
    </xdr:to>
    <xdr:sp macro="" textlink="">
      <xdr:nvSpPr>
        <xdr:cNvPr id="5" name="Rectángulo: esquinas redondeadas 4">
          <a:extLst>
            <a:ext uri="{FF2B5EF4-FFF2-40B4-BE49-F238E27FC236}">
              <a16:creationId xmlns:a16="http://schemas.microsoft.com/office/drawing/2014/main" id="{9BDE7B60-AF23-4B19-A1F0-CB58F39C6358}"/>
            </a:ext>
          </a:extLst>
        </xdr:cNvPr>
        <xdr:cNvSpPr/>
      </xdr:nvSpPr>
      <xdr:spPr>
        <a:xfrm>
          <a:off x="123824" y="39052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34</xdr:row>
      <xdr:rowOff>0</xdr:rowOff>
    </xdr:from>
    <xdr:to>
      <xdr:col>8</xdr:col>
      <xdr:colOff>1005416</xdr:colOff>
      <xdr:row>35</xdr:row>
      <xdr:rowOff>53975</xdr:rowOff>
    </xdr:to>
    <xdr:sp macro="" textlink="">
      <xdr:nvSpPr>
        <xdr:cNvPr id="6" name="Rectángulo: esquinas redondeadas 5">
          <a:extLst>
            <a:ext uri="{FF2B5EF4-FFF2-40B4-BE49-F238E27FC236}">
              <a16:creationId xmlns:a16="http://schemas.microsoft.com/office/drawing/2014/main" id="{76E9507B-9EAD-48BF-864F-232271333A39}"/>
            </a:ext>
          </a:extLst>
        </xdr:cNvPr>
        <xdr:cNvSpPr/>
      </xdr:nvSpPr>
      <xdr:spPr>
        <a:xfrm>
          <a:off x="123825" y="7772400"/>
          <a:ext cx="13601700"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38</xdr:row>
      <xdr:rowOff>190500</xdr:rowOff>
    </xdr:from>
    <xdr:to>
      <xdr:col>8</xdr:col>
      <xdr:colOff>1043515</xdr:colOff>
      <xdr:row>41</xdr:row>
      <xdr:rowOff>73024</xdr:rowOff>
    </xdr:to>
    <xdr:sp macro="" textlink="">
      <xdr:nvSpPr>
        <xdr:cNvPr id="7" name="Rectángulo: esquinas redondeadas 6">
          <a:extLst>
            <a:ext uri="{FF2B5EF4-FFF2-40B4-BE49-F238E27FC236}">
              <a16:creationId xmlns:a16="http://schemas.microsoft.com/office/drawing/2014/main" id="{1B1CA2E6-7031-41E2-A0D3-0AEEB01FFAF8}"/>
            </a:ext>
          </a:extLst>
        </xdr:cNvPr>
        <xdr:cNvSpPr/>
      </xdr:nvSpPr>
      <xdr:spPr>
        <a:xfrm>
          <a:off x="95249" y="8877300"/>
          <a:ext cx="13658850" cy="56197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caracteres que conforman los nombres de cada plataforma</a:t>
          </a:r>
        </a:p>
      </xdr:txBody>
    </xdr:sp>
    <xdr:clientData/>
  </xdr:twoCellAnchor>
  <xdr:twoCellAnchor editAs="oneCell">
    <xdr:from>
      <xdr:col>1</xdr:col>
      <xdr:colOff>9524</xdr:colOff>
      <xdr:row>0</xdr:row>
      <xdr:rowOff>104775</xdr:rowOff>
    </xdr:from>
    <xdr:to>
      <xdr:col>8</xdr:col>
      <xdr:colOff>1069975</xdr:colOff>
      <xdr:row>3</xdr:row>
      <xdr:rowOff>0</xdr:rowOff>
    </xdr:to>
    <xdr:grpSp>
      <xdr:nvGrpSpPr>
        <xdr:cNvPr id="8" name="Grupo 7">
          <a:extLst>
            <a:ext uri="{FF2B5EF4-FFF2-40B4-BE49-F238E27FC236}">
              <a16:creationId xmlns:a16="http://schemas.microsoft.com/office/drawing/2014/main" id="{3C2AA986-6E78-4163-9E6B-BEAD7FA18D17}"/>
            </a:ext>
          </a:extLst>
        </xdr:cNvPr>
        <xdr:cNvGrpSpPr/>
      </xdr:nvGrpSpPr>
      <xdr:grpSpPr>
        <a:xfrm>
          <a:off x="123824" y="104775"/>
          <a:ext cx="12261851" cy="428625"/>
          <a:chOff x="136524" y="104775"/>
          <a:chExt cx="13664143" cy="541867"/>
        </a:xfrm>
      </xdr:grpSpPr>
      <xdr:sp macro="" textlink="">
        <xdr:nvSpPr>
          <xdr:cNvPr id="9" name="Rectángulo: esquinas redondeadas 8">
            <a:extLst>
              <a:ext uri="{FF2B5EF4-FFF2-40B4-BE49-F238E27FC236}">
                <a16:creationId xmlns:a16="http://schemas.microsoft.com/office/drawing/2014/main" id="{FFC14621-2966-E217-E41F-F8C5F52BA87F}"/>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81EE2BDC-6F19-5DD2-FA73-D3A77AED4E3A}"/>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LARGO</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E472935E-673D-7796-E471-1135440FF5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63</xdr:row>
      <xdr:rowOff>28575</xdr:rowOff>
    </xdr:from>
    <xdr:to>
      <xdr:col>8</xdr:col>
      <xdr:colOff>1014060</xdr:colOff>
      <xdr:row>64</xdr:row>
      <xdr:rowOff>76199</xdr:rowOff>
    </xdr:to>
    <xdr:sp macro="" textlink="">
      <xdr:nvSpPr>
        <xdr:cNvPr id="12" name="Rectángulo: esquinas redondeadas 11">
          <a:extLst>
            <a:ext uri="{FF2B5EF4-FFF2-40B4-BE49-F238E27FC236}">
              <a16:creationId xmlns:a16="http://schemas.microsoft.com/office/drawing/2014/main" id="{8D334B79-5743-4254-B234-6268807C0B34}"/>
            </a:ext>
          </a:extLst>
        </xdr:cNvPr>
        <xdr:cNvSpPr/>
      </xdr:nvSpPr>
      <xdr:spPr>
        <a:xfrm>
          <a:off x="152400" y="15344775"/>
          <a:ext cx="13581769"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64</xdr:row>
      <xdr:rowOff>161925</xdr:rowOff>
    </xdr:from>
    <xdr:to>
      <xdr:col>8</xdr:col>
      <xdr:colOff>1050925</xdr:colOff>
      <xdr:row>67</xdr:row>
      <xdr:rowOff>151342</xdr:rowOff>
    </xdr:to>
    <xdr:sp macro="" textlink="">
      <xdr:nvSpPr>
        <xdr:cNvPr id="13" name="Rectángulo: esquinas redondeadas 12">
          <a:extLst>
            <a:ext uri="{FF2B5EF4-FFF2-40B4-BE49-F238E27FC236}">
              <a16:creationId xmlns:a16="http://schemas.microsoft.com/office/drawing/2014/main" id="{F2BF17C3-DAA7-44C8-8CE4-87031053F3B4}"/>
            </a:ext>
          </a:extLst>
        </xdr:cNvPr>
        <xdr:cNvSpPr/>
      </xdr:nvSpPr>
      <xdr:spPr>
        <a:xfrm>
          <a:off x="184149" y="15706725"/>
          <a:ext cx="13586885" cy="6752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ENCONTRAR (FIND en inglés) </a:t>
          </a:r>
          <a:r>
            <a:rPr lang="en-US" sz="1000" b="0">
              <a:solidFill>
                <a:schemeClr val="tx1"/>
              </a:solidFill>
              <a:latin typeface="Montserrat" panose="00000500000000000000" pitchFamily="2" charset="0"/>
              <a:ea typeface="+mn-ea"/>
              <a:cs typeface="+mn-cs"/>
            </a:rPr>
            <a:t>es una función en Excel que busca una cadena de texto dentro de otra cadena y devuelve la posición del inicio de la cadena buscada. Es sensible a mayúsculas y minúsculas y no permite el uso de caracteres comodín. Esta función es útil para localizar la posición exacta de un texto dentro de otro, lo que puede ser necesario en tareas de limpieza de datos, análisis de texto, o al trabajar con fórmulas que dependen de la estructura de una cadena de texto.</a:t>
          </a:r>
        </a:p>
      </xdr:txBody>
    </xdr:sp>
    <xdr:clientData/>
  </xdr:twoCellAnchor>
  <xdr:twoCellAnchor editAs="oneCell">
    <xdr:from>
      <xdr:col>1</xdr:col>
      <xdr:colOff>14817</xdr:colOff>
      <xdr:row>68</xdr:row>
      <xdr:rowOff>65616</xdr:rowOff>
    </xdr:from>
    <xdr:to>
      <xdr:col>8</xdr:col>
      <xdr:colOff>1006652</xdr:colOff>
      <xdr:row>69</xdr:row>
      <xdr:rowOff>111125</xdr:rowOff>
    </xdr:to>
    <xdr:sp macro="" textlink="">
      <xdr:nvSpPr>
        <xdr:cNvPr id="14" name="Rectángulo: esquinas redondeadas 13">
          <a:extLst>
            <a:ext uri="{FF2B5EF4-FFF2-40B4-BE49-F238E27FC236}">
              <a16:creationId xmlns:a16="http://schemas.microsoft.com/office/drawing/2014/main" id="{0656774C-18D8-45DD-B674-4F85CDCB7EC5}"/>
            </a:ext>
          </a:extLst>
        </xdr:cNvPr>
        <xdr:cNvSpPr/>
      </xdr:nvSpPr>
      <xdr:spPr>
        <a:xfrm>
          <a:off x="138642" y="16524816"/>
          <a:ext cx="13588119" cy="26775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76</xdr:row>
      <xdr:rowOff>147108</xdr:rowOff>
    </xdr:from>
    <xdr:to>
      <xdr:col>8</xdr:col>
      <xdr:colOff>1014060</xdr:colOff>
      <xdr:row>78</xdr:row>
      <xdr:rowOff>3138</xdr:rowOff>
    </xdr:to>
    <xdr:sp macro="" textlink="">
      <xdr:nvSpPr>
        <xdr:cNvPr id="15" name="Rectángulo: esquinas redondeadas 14">
          <a:extLst>
            <a:ext uri="{FF2B5EF4-FFF2-40B4-BE49-F238E27FC236}">
              <a16:creationId xmlns:a16="http://schemas.microsoft.com/office/drawing/2014/main" id="{4636A411-D8A8-437D-881D-AA55F5B9B2FE}"/>
            </a:ext>
          </a:extLst>
        </xdr:cNvPr>
        <xdr:cNvSpPr/>
      </xdr:nvSpPr>
      <xdr:spPr>
        <a:xfrm>
          <a:off x="152400" y="18435108"/>
          <a:ext cx="13581769" cy="2730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31751</xdr:colOff>
      <xdr:row>98</xdr:row>
      <xdr:rowOff>128058</xdr:rowOff>
    </xdr:from>
    <xdr:to>
      <xdr:col>8</xdr:col>
      <xdr:colOff>1043517</xdr:colOff>
      <xdr:row>99</xdr:row>
      <xdr:rowOff>172507</xdr:rowOff>
    </xdr:to>
    <xdr:sp macro="" textlink="">
      <xdr:nvSpPr>
        <xdr:cNvPr id="16" name="Rectángulo: esquinas redondeadas 15">
          <a:extLst>
            <a:ext uri="{FF2B5EF4-FFF2-40B4-BE49-F238E27FC236}">
              <a16:creationId xmlns:a16="http://schemas.microsoft.com/office/drawing/2014/main" id="{3EBA61E6-5EB2-4711-8ACB-CA5D673A1EC0}"/>
            </a:ext>
          </a:extLst>
        </xdr:cNvPr>
        <xdr:cNvSpPr/>
      </xdr:nvSpPr>
      <xdr:spPr>
        <a:xfrm>
          <a:off x="155576" y="21616458"/>
          <a:ext cx="13604875" cy="27304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103</xdr:row>
      <xdr:rowOff>85724</xdr:rowOff>
    </xdr:from>
    <xdr:to>
      <xdr:col>8</xdr:col>
      <xdr:colOff>1081616</xdr:colOff>
      <xdr:row>106</xdr:row>
      <xdr:rowOff>3134</xdr:rowOff>
    </xdr:to>
    <xdr:sp macro="" textlink="">
      <xdr:nvSpPr>
        <xdr:cNvPr id="17" name="Rectángulo: esquinas redondeadas 16">
          <a:extLst>
            <a:ext uri="{FF2B5EF4-FFF2-40B4-BE49-F238E27FC236}">
              <a16:creationId xmlns:a16="http://schemas.microsoft.com/office/drawing/2014/main" id="{F8D753DD-F9C8-4AF5-89E4-55D50CB4A1DE}"/>
            </a:ext>
          </a:extLst>
        </xdr:cNvPr>
        <xdr:cNvSpPr/>
      </xdr:nvSpPr>
      <xdr:spPr>
        <a:xfrm>
          <a:off x="127000" y="24067557"/>
          <a:ext cx="13672608" cy="571498"/>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Identifica la ubicación del espacio en los nombres de cada país (en caso de aplicar).</a:t>
          </a:r>
        </a:p>
      </xdr:txBody>
    </xdr:sp>
    <xdr:clientData/>
  </xdr:twoCellAnchor>
  <xdr:twoCellAnchor editAs="oneCell">
    <xdr:from>
      <xdr:col>1</xdr:col>
      <xdr:colOff>44450</xdr:colOff>
      <xdr:row>60</xdr:row>
      <xdr:rowOff>0</xdr:rowOff>
    </xdr:from>
    <xdr:to>
      <xdr:col>8</xdr:col>
      <xdr:colOff>1120776</xdr:colOff>
      <xdr:row>62</xdr:row>
      <xdr:rowOff>73025</xdr:rowOff>
    </xdr:to>
    <xdr:grpSp>
      <xdr:nvGrpSpPr>
        <xdr:cNvPr id="18" name="Grupo 17">
          <a:extLst>
            <a:ext uri="{FF2B5EF4-FFF2-40B4-BE49-F238E27FC236}">
              <a16:creationId xmlns:a16="http://schemas.microsoft.com/office/drawing/2014/main" id="{6D99E852-371E-4F82-864E-774CFB7CE75A}"/>
            </a:ext>
          </a:extLst>
        </xdr:cNvPr>
        <xdr:cNvGrpSpPr/>
      </xdr:nvGrpSpPr>
      <xdr:grpSpPr>
        <a:xfrm>
          <a:off x="158750" y="10718800"/>
          <a:ext cx="12277726" cy="428625"/>
          <a:chOff x="136524" y="104775"/>
          <a:chExt cx="13664143" cy="541867"/>
        </a:xfrm>
      </xdr:grpSpPr>
      <xdr:sp macro="" textlink="">
        <xdr:nvSpPr>
          <xdr:cNvPr id="19" name="Rectángulo: esquinas redondeadas 18">
            <a:extLst>
              <a:ext uri="{FF2B5EF4-FFF2-40B4-BE49-F238E27FC236}">
                <a16:creationId xmlns:a16="http://schemas.microsoft.com/office/drawing/2014/main" id="{8848C43B-F255-7A59-62D8-ED0215F6BB10}"/>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F3079829-0970-8E63-FCED-1B69C631C6FD}"/>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ENCONTRAR</a:t>
            </a:r>
          </a:p>
        </xdr:txBody>
      </xdr:sp>
      <xdr:pic>
        <xdr:nvPicPr>
          <xdr:cNvPr id="21" name="Gráfico 20" descr="Search Inventory con relleno sólido">
            <a:extLst>
              <a:ext uri="{FF2B5EF4-FFF2-40B4-BE49-F238E27FC236}">
                <a16:creationId xmlns:a16="http://schemas.microsoft.com/office/drawing/2014/main" id="{561AC20C-F050-6025-0F4F-884F9DF3C82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AC60008A-DFF1-1043-0324-EF1D4EEFDF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129</xdr:row>
      <xdr:rowOff>197908</xdr:rowOff>
    </xdr:from>
    <xdr:to>
      <xdr:col>8</xdr:col>
      <xdr:colOff>1011943</xdr:colOff>
      <xdr:row>131</xdr:row>
      <xdr:rowOff>1763</xdr:rowOff>
    </xdr:to>
    <xdr:sp macro="" textlink="">
      <xdr:nvSpPr>
        <xdr:cNvPr id="23" name="Rectángulo: esquinas redondeadas 22">
          <a:extLst>
            <a:ext uri="{FF2B5EF4-FFF2-40B4-BE49-F238E27FC236}">
              <a16:creationId xmlns:a16="http://schemas.microsoft.com/office/drawing/2014/main" id="{9A9A0AD6-46F8-4CE4-9E25-0F2F88BBA475}"/>
            </a:ext>
          </a:extLst>
        </xdr:cNvPr>
        <xdr:cNvSpPr/>
      </xdr:nvSpPr>
      <xdr:spPr>
        <a:xfrm>
          <a:off x="143933" y="27172708"/>
          <a:ext cx="13588119" cy="25823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131</xdr:row>
      <xdr:rowOff>77258</xdr:rowOff>
    </xdr:from>
    <xdr:to>
      <xdr:col>8</xdr:col>
      <xdr:colOff>1045633</xdr:colOff>
      <xdr:row>134</xdr:row>
      <xdr:rowOff>33867</xdr:rowOff>
    </xdr:to>
    <xdr:sp macro="" textlink="">
      <xdr:nvSpPr>
        <xdr:cNvPr id="24" name="Rectángulo: esquinas redondeadas 23">
          <a:extLst>
            <a:ext uri="{FF2B5EF4-FFF2-40B4-BE49-F238E27FC236}">
              <a16:creationId xmlns:a16="http://schemas.microsoft.com/office/drawing/2014/main" id="{87D37FF8-9056-4491-A841-B2087607F017}"/>
            </a:ext>
          </a:extLst>
        </xdr:cNvPr>
        <xdr:cNvSpPr/>
      </xdr:nvSpPr>
      <xdr:spPr>
        <a:xfrm>
          <a:off x="175682" y="27509258"/>
          <a:ext cx="13586885" cy="63605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SUSTITUIR (SUBSTITUTE en inglés)</a:t>
          </a:r>
          <a:r>
            <a:rPr lang="en-US" sz="1000" b="0">
              <a:solidFill>
                <a:schemeClr val="tx1"/>
              </a:solidFill>
              <a:latin typeface="Montserrat" panose="00000500000000000000" pitchFamily="2" charset="0"/>
              <a:ea typeface="+mn-ea"/>
              <a:cs typeface="+mn-cs"/>
            </a:rPr>
            <a:t> es una función en Excel que reemplaza texto en una cadena, cambiando todas las ocurrencias de un texto especificado por un nuevo texto. Esta función es muy útil para modificar cadenas de texto, como corregir errores tipográficos, actualizar información dentro de un conjunto de datos o realizar ajustes en textos dinámicos.</a:t>
          </a:r>
        </a:p>
      </xdr:txBody>
    </xdr:sp>
    <xdr:clientData/>
  </xdr:twoCellAnchor>
  <xdr:twoCellAnchor editAs="oneCell">
    <xdr:from>
      <xdr:col>1</xdr:col>
      <xdr:colOff>0</xdr:colOff>
      <xdr:row>134</xdr:row>
      <xdr:rowOff>150282</xdr:rowOff>
    </xdr:from>
    <xdr:to>
      <xdr:col>8</xdr:col>
      <xdr:colOff>995010</xdr:colOff>
      <xdr:row>135</xdr:row>
      <xdr:rowOff>176741</xdr:rowOff>
    </xdr:to>
    <xdr:sp macro="" textlink="">
      <xdr:nvSpPr>
        <xdr:cNvPr id="25" name="Rectángulo: esquinas redondeadas 24">
          <a:extLst>
            <a:ext uri="{FF2B5EF4-FFF2-40B4-BE49-F238E27FC236}">
              <a16:creationId xmlns:a16="http://schemas.microsoft.com/office/drawing/2014/main" id="{47319FCC-5F16-43A7-A907-AC440FC507DB}"/>
            </a:ext>
          </a:extLst>
        </xdr:cNvPr>
        <xdr:cNvSpPr/>
      </xdr:nvSpPr>
      <xdr:spPr>
        <a:xfrm>
          <a:off x="123825" y="28268082"/>
          <a:ext cx="13591294" cy="26140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144</xdr:row>
      <xdr:rowOff>116416</xdr:rowOff>
    </xdr:from>
    <xdr:to>
      <xdr:col>8</xdr:col>
      <xdr:colOff>1007710</xdr:colOff>
      <xdr:row>145</xdr:row>
      <xdr:rowOff>173568</xdr:rowOff>
    </xdr:to>
    <xdr:sp macro="" textlink="">
      <xdr:nvSpPr>
        <xdr:cNvPr id="26" name="Rectángulo: esquinas redondeadas 25">
          <a:extLst>
            <a:ext uri="{FF2B5EF4-FFF2-40B4-BE49-F238E27FC236}">
              <a16:creationId xmlns:a16="http://schemas.microsoft.com/office/drawing/2014/main" id="{A67852B7-73BF-40EE-8669-1EC36574B4A2}"/>
            </a:ext>
          </a:extLst>
        </xdr:cNvPr>
        <xdr:cNvSpPr/>
      </xdr:nvSpPr>
      <xdr:spPr>
        <a:xfrm>
          <a:off x="133350" y="30520216"/>
          <a:ext cx="13591294" cy="2857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16934</xdr:colOff>
      <xdr:row>159</xdr:row>
      <xdr:rowOff>121708</xdr:rowOff>
    </xdr:from>
    <xdr:to>
      <xdr:col>8</xdr:col>
      <xdr:colOff>1044575</xdr:colOff>
      <xdr:row>161</xdr:row>
      <xdr:rowOff>1056</xdr:rowOff>
    </xdr:to>
    <xdr:sp macro="" textlink="">
      <xdr:nvSpPr>
        <xdr:cNvPr id="27" name="Rectángulo: esquinas redondeadas 26">
          <a:extLst>
            <a:ext uri="{FF2B5EF4-FFF2-40B4-BE49-F238E27FC236}">
              <a16:creationId xmlns:a16="http://schemas.microsoft.com/office/drawing/2014/main" id="{2C2E18F8-2D2B-46B7-B731-5001397391C0}"/>
            </a:ext>
          </a:extLst>
        </xdr:cNvPr>
        <xdr:cNvSpPr/>
      </xdr:nvSpPr>
      <xdr:spPr>
        <a:xfrm>
          <a:off x="143934" y="36787667"/>
          <a:ext cx="13612283" cy="28998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39158</xdr:colOff>
      <xdr:row>127</xdr:row>
      <xdr:rowOff>0</xdr:rowOff>
    </xdr:from>
    <xdr:to>
      <xdr:col>8</xdr:col>
      <xdr:colOff>1121834</xdr:colOff>
      <xdr:row>129</xdr:row>
      <xdr:rowOff>21165</xdr:rowOff>
    </xdr:to>
    <xdr:grpSp>
      <xdr:nvGrpSpPr>
        <xdr:cNvPr id="28" name="Grupo 27">
          <a:extLst>
            <a:ext uri="{FF2B5EF4-FFF2-40B4-BE49-F238E27FC236}">
              <a16:creationId xmlns:a16="http://schemas.microsoft.com/office/drawing/2014/main" id="{C8B6B41B-F7E1-4F5B-8B90-EB7E28ECE00B}"/>
            </a:ext>
          </a:extLst>
        </xdr:cNvPr>
        <xdr:cNvGrpSpPr/>
      </xdr:nvGrpSpPr>
      <xdr:grpSpPr>
        <a:xfrm>
          <a:off x="153458" y="22682200"/>
          <a:ext cx="12284076" cy="376765"/>
          <a:chOff x="136524" y="104775"/>
          <a:chExt cx="13664143" cy="541867"/>
        </a:xfrm>
      </xdr:grpSpPr>
      <xdr:sp macro="" textlink="">
        <xdr:nvSpPr>
          <xdr:cNvPr id="29" name="Rectángulo: esquinas redondeadas 28">
            <a:extLst>
              <a:ext uri="{FF2B5EF4-FFF2-40B4-BE49-F238E27FC236}">
                <a16:creationId xmlns:a16="http://schemas.microsoft.com/office/drawing/2014/main" id="{61B69546-744D-020A-78F7-3D7165E7DC4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0" name="CuadroTexto 29">
            <a:extLst>
              <a:ext uri="{FF2B5EF4-FFF2-40B4-BE49-F238E27FC236}">
                <a16:creationId xmlns:a16="http://schemas.microsoft.com/office/drawing/2014/main" id="{C2ABE03B-4508-A06C-8644-629DA5E2DEAC}"/>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SUSTITUIR</a:t>
            </a:r>
          </a:p>
        </xdr:txBody>
      </xdr:sp>
      <xdr:pic>
        <xdr:nvPicPr>
          <xdr:cNvPr id="31" name="Gráfico 30" descr="Search Inventory con relleno sólido">
            <a:extLst>
              <a:ext uri="{FF2B5EF4-FFF2-40B4-BE49-F238E27FC236}">
                <a16:creationId xmlns:a16="http://schemas.microsoft.com/office/drawing/2014/main" id="{C4AF06E2-4423-31D9-2824-D01B899CE8C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32" name="Gráfico 31" descr="Circle with left arrow con relleno sólido">
            <a:hlinkClick xmlns:r="http://schemas.openxmlformats.org/officeDocument/2006/relationships" r:id="rId1"/>
            <a:extLst>
              <a:ext uri="{FF2B5EF4-FFF2-40B4-BE49-F238E27FC236}">
                <a16:creationId xmlns:a16="http://schemas.microsoft.com/office/drawing/2014/main" id="{E590C3EE-26FB-A153-683A-42CA81DB34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0</xdr:colOff>
      <xdr:row>164</xdr:row>
      <xdr:rowOff>63499</xdr:rowOff>
    </xdr:from>
    <xdr:to>
      <xdr:col>8</xdr:col>
      <xdr:colOff>1081616</xdr:colOff>
      <xdr:row>166</xdr:row>
      <xdr:rowOff>169330</xdr:rowOff>
    </xdr:to>
    <xdr:sp macro="" textlink="">
      <xdr:nvSpPr>
        <xdr:cNvPr id="33" name="Rectángulo: esquinas redondeadas 32">
          <a:extLst>
            <a:ext uri="{FF2B5EF4-FFF2-40B4-BE49-F238E27FC236}">
              <a16:creationId xmlns:a16="http://schemas.microsoft.com/office/drawing/2014/main" id="{147B2ADB-18E6-4019-B19B-61DFB93220D7}"/>
            </a:ext>
          </a:extLst>
        </xdr:cNvPr>
        <xdr:cNvSpPr/>
      </xdr:nvSpPr>
      <xdr:spPr>
        <a:xfrm>
          <a:off x="123825" y="34810699"/>
          <a:ext cx="13674725" cy="563031"/>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Sustituye los - por /</a:t>
          </a:r>
        </a:p>
      </xdr:txBody>
    </xdr:sp>
    <xdr:clientData/>
  </xdr:twoCellAnchor>
  <xdr:twoCellAnchor editAs="oneCell">
    <xdr:from>
      <xdr:col>1</xdr:col>
      <xdr:colOff>168274</xdr:colOff>
      <xdr:row>0</xdr:row>
      <xdr:rowOff>137584</xdr:rowOff>
    </xdr:from>
    <xdr:to>
      <xdr:col>1</xdr:col>
      <xdr:colOff>645583</xdr:colOff>
      <xdr:row>2</xdr:row>
      <xdr:rowOff>176764</xdr:rowOff>
    </xdr:to>
    <xdr:pic>
      <xdr:nvPicPr>
        <xdr:cNvPr id="34" name="Gráfico 33" descr="Left Brain con relleno sólido">
          <a:extLst>
            <a:ext uri="{FF2B5EF4-FFF2-40B4-BE49-F238E27FC236}">
              <a16:creationId xmlns:a16="http://schemas.microsoft.com/office/drawing/2014/main" id="{C80B2FF9-8864-4AF8-9DFB-7330DF3051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2099" y="137584"/>
          <a:ext cx="470959" cy="518605"/>
        </a:xfrm>
        <a:prstGeom prst="rect">
          <a:avLst/>
        </a:prstGeom>
      </xdr:spPr>
    </xdr:pic>
    <xdr:clientData/>
  </xdr:twoCellAnchor>
  <xdr:twoCellAnchor editAs="oneCell">
    <xdr:from>
      <xdr:col>1</xdr:col>
      <xdr:colOff>31750</xdr:colOff>
      <xdr:row>10</xdr:row>
      <xdr:rowOff>179917</xdr:rowOff>
    </xdr:from>
    <xdr:to>
      <xdr:col>3</xdr:col>
      <xdr:colOff>304</xdr:colOff>
      <xdr:row>16</xdr:row>
      <xdr:rowOff>116417</xdr:rowOff>
    </xdr:to>
    <xdr:grpSp>
      <xdr:nvGrpSpPr>
        <xdr:cNvPr id="66" name="Grupo 65">
          <a:extLst>
            <a:ext uri="{FF2B5EF4-FFF2-40B4-BE49-F238E27FC236}">
              <a16:creationId xmlns:a16="http://schemas.microsoft.com/office/drawing/2014/main" id="{98D66453-396F-4749-BC9C-6EA6E378A95B}"/>
            </a:ext>
          </a:extLst>
        </xdr:cNvPr>
        <xdr:cNvGrpSpPr/>
      </xdr:nvGrpSpPr>
      <xdr:grpSpPr>
        <a:xfrm>
          <a:off x="146050" y="1957917"/>
          <a:ext cx="4070654" cy="1003300"/>
          <a:chOff x="243568" y="5018653"/>
          <a:chExt cx="4440013" cy="1333500"/>
        </a:xfrm>
      </xdr:grpSpPr>
      <xdr:grpSp>
        <xdr:nvGrpSpPr>
          <xdr:cNvPr id="67" name="Grupo 66">
            <a:extLst>
              <a:ext uri="{FF2B5EF4-FFF2-40B4-BE49-F238E27FC236}">
                <a16:creationId xmlns:a16="http://schemas.microsoft.com/office/drawing/2014/main" id="{4CE3450E-4A55-50D4-BBFD-3C891A8A9A18}"/>
              </a:ext>
            </a:extLst>
          </xdr:cNvPr>
          <xdr:cNvGrpSpPr/>
        </xdr:nvGrpSpPr>
        <xdr:grpSpPr>
          <a:xfrm>
            <a:off x="243568" y="5018653"/>
            <a:ext cx="4440013" cy="355148"/>
            <a:chOff x="276225" y="2009775"/>
            <a:chExt cx="4429127" cy="352426"/>
          </a:xfrm>
        </xdr:grpSpPr>
        <xdr:sp macro="" textlink="">
          <xdr:nvSpPr>
            <xdr:cNvPr id="70" name="Rectángulo: esquinas redondeadas 69">
              <a:extLst>
                <a:ext uri="{FF2B5EF4-FFF2-40B4-BE49-F238E27FC236}">
                  <a16:creationId xmlns:a16="http://schemas.microsoft.com/office/drawing/2014/main" id="{D9C515D8-1B1E-1944-7784-B3070E05773C}"/>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1" name="Rectángulo: esquinas redondeadas 70">
              <a:extLst>
                <a:ext uri="{FF2B5EF4-FFF2-40B4-BE49-F238E27FC236}">
                  <a16:creationId xmlns:a16="http://schemas.microsoft.com/office/drawing/2014/main" id="{D663DF0B-65C1-8C55-710B-CA48D95172B8}"/>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LARGO</a:t>
              </a:r>
            </a:p>
          </xdr:txBody>
        </xdr:sp>
        <xdr:sp macro="" textlink="">
          <xdr:nvSpPr>
            <xdr:cNvPr id="72" name="Rectángulo: esquinas redondeadas 71">
              <a:extLst>
                <a:ext uri="{FF2B5EF4-FFF2-40B4-BE49-F238E27FC236}">
                  <a16:creationId xmlns:a16="http://schemas.microsoft.com/office/drawing/2014/main" id="{A284912B-4E53-B16D-4BBF-14F60D92204D}"/>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3" name="Rectángulo: esquinas redondeadas 72">
              <a:extLst>
                <a:ext uri="{FF2B5EF4-FFF2-40B4-BE49-F238E27FC236}">
                  <a16:creationId xmlns:a16="http://schemas.microsoft.com/office/drawing/2014/main" id="{DD14B25B-EBCC-5760-27F2-B92C35484643}"/>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74" name="Rectángulo: esquinas redondeadas 73">
              <a:extLst>
                <a:ext uri="{FF2B5EF4-FFF2-40B4-BE49-F238E27FC236}">
                  <a16:creationId xmlns:a16="http://schemas.microsoft.com/office/drawing/2014/main" id="{CC6795B5-AD90-6875-0834-8B61F267D8A1}"/>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68" name="Rectángulo: esquinas redondeadas 67">
            <a:extLst>
              <a:ext uri="{FF2B5EF4-FFF2-40B4-BE49-F238E27FC236}">
                <a16:creationId xmlns:a16="http://schemas.microsoft.com/office/drawing/2014/main" id="{3F6EBD5D-A854-D143-3DFD-82FB96E0F432}"/>
              </a:ext>
            </a:extLst>
          </xdr:cNvPr>
          <xdr:cNvSpPr/>
        </xdr:nvSpPr>
        <xdr:spPr>
          <a:xfrm>
            <a:off x="2311854" y="5542189"/>
            <a:ext cx="1980000" cy="809964"/>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cuya longitud quieres medir. Puede ser una referencia a una celda que contenga texto, una cadena de texto directamente ingresada en la fórmula, o el resultado de otra función que devuelve texto.</a:t>
            </a:r>
          </a:p>
        </xdr:txBody>
      </xdr:sp>
      <xdr:pic>
        <xdr:nvPicPr>
          <xdr:cNvPr id="69" name="Gráfico 68" descr="Information con relleno sólido">
            <a:extLst>
              <a:ext uri="{FF2B5EF4-FFF2-40B4-BE49-F238E27FC236}">
                <a16:creationId xmlns:a16="http://schemas.microsoft.com/office/drawing/2014/main" id="{9673341E-54D8-D88E-0270-F80B9F6A751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49955" y="5570764"/>
            <a:ext cx="161925" cy="161925"/>
          </a:xfrm>
          <a:prstGeom prst="rect">
            <a:avLst/>
          </a:prstGeom>
        </xdr:spPr>
      </xdr:pic>
    </xdr:grpSp>
    <xdr:clientData/>
  </xdr:twoCellAnchor>
  <xdr:twoCellAnchor editAs="oneCell">
    <xdr:from>
      <xdr:col>1</xdr:col>
      <xdr:colOff>74083</xdr:colOff>
      <xdr:row>70</xdr:row>
      <xdr:rowOff>127000</xdr:rowOff>
    </xdr:from>
    <xdr:to>
      <xdr:col>5</xdr:col>
      <xdr:colOff>14970</xdr:colOff>
      <xdr:row>75</xdr:row>
      <xdr:rowOff>55166</xdr:rowOff>
    </xdr:to>
    <xdr:grpSp>
      <xdr:nvGrpSpPr>
        <xdr:cNvPr id="93" name="Grupo 92">
          <a:extLst>
            <a:ext uri="{FF2B5EF4-FFF2-40B4-BE49-F238E27FC236}">
              <a16:creationId xmlns:a16="http://schemas.microsoft.com/office/drawing/2014/main" id="{3921B503-FC19-40B6-8EC9-E13CD5B31E07}"/>
            </a:ext>
          </a:extLst>
        </xdr:cNvPr>
        <xdr:cNvGrpSpPr/>
      </xdr:nvGrpSpPr>
      <xdr:grpSpPr>
        <a:xfrm>
          <a:off x="188383" y="12623800"/>
          <a:ext cx="8056187" cy="817166"/>
          <a:chOff x="276225" y="352425"/>
          <a:chExt cx="9029702" cy="1078725"/>
        </a:xfrm>
      </xdr:grpSpPr>
      <xdr:grpSp>
        <xdr:nvGrpSpPr>
          <xdr:cNvPr id="94" name="Grupo 93">
            <a:extLst>
              <a:ext uri="{FF2B5EF4-FFF2-40B4-BE49-F238E27FC236}">
                <a16:creationId xmlns:a16="http://schemas.microsoft.com/office/drawing/2014/main" id="{62F5C122-9A80-F5D0-83AF-D959FD4C1B22}"/>
              </a:ext>
            </a:extLst>
          </xdr:cNvPr>
          <xdr:cNvGrpSpPr/>
        </xdr:nvGrpSpPr>
        <xdr:grpSpPr>
          <a:xfrm>
            <a:off x="276225" y="352425"/>
            <a:ext cx="9029702" cy="352426"/>
            <a:chOff x="142874" y="2266950"/>
            <a:chExt cx="9029702" cy="352426"/>
          </a:xfrm>
        </xdr:grpSpPr>
        <xdr:sp macro="" textlink="">
          <xdr:nvSpPr>
            <xdr:cNvPr id="102" name="Rectángulo: esquinas redondeadas 101">
              <a:extLst>
                <a:ext uri="{FF2B5EF4-FFF2-40B4-BE49-F238E27FC236}">
                  <a16:creationId xmlns:a16="http://schemas.microsoft.com/office/drawing/2014/main" id="{1311F14B-D431-6F7C-9987-6378064CC2E3}"/>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3" name="Rectángulo: esquinas redondeadas 102">
              <a:extLst>
                <a:ext uri="{FF2B5EF4-FFF2-40B4-BE49-F238E27FC236}">
                  <a16:creationId xmlns:a16="http://schemas.microsoft.com/office/drawing/2014/main" id="{82098840-4E0E-CE3D-3286-0F33F5373197}"/>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ENCONTRAR</a:t>
              </a:r>
            </a:p>
          </xdr:txBody>
        </xdr:sp>
        <xdr:sp macro="" textlink="">
          <xdr:nvSpPr>
            <xdr:cNvPr id="104" name="Rectángulo: esquinas redondeadas 103">
              <a:extLst>
                <a:ext uri="{FF2B5EF4-FFF2-40B4-BE49-F238E27FC236}">
                  <a16:creationId xmlns:a16="http://schemas.microsoft.com/office/drawing/2014/main" id="{1BD96531-175B-902F-888A-579DFCA1182F}"/>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5" name="Rectángulo: esquinas redondeadas 104">
              <a:extLst>
                <a:ext uri="{FF2B5EF4-FFF2-40B4-BE49-F238E27FC236}">
                  <a16:creationId xmlns:a16="http://schemas.microsoft.com/office/drawing/2014/main" id="{EF383C59-6AC3-54AF-D309-4179733446EC}"/>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 Buscado</a:t>
              </a:r>
            </a:p>
          </xdr:txBody>
        </xdr:sp>
        <xdr:sp macro="" textlink="">
          <xdr:nvSpPr>
            <xdr:cNvPr id="106" name="Rectángulo: esquinas redondeadas 105">
              <a:extLst>
                <a:ext uri="{FF2B5EF4-FFF2-40B4-BE49-F238E27FC236}">
                  <a16:creationId xmlns:a16="http://schemas.microsoft.com/office/drawing/2014/main" id="{6BB8B130-2526-0F9E-CC5C-AAFE7E6F963C}"/>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Dentro del Texto</a:t>
              </a:r>
            </a:p>
          </xdr:txBody>
        </xdr:sp>
        <xdr:sp macro="" textlink="">
          <xdr:nvSpPr>
            <xdr:cNvPr id="107" name="Rectángulo: esquinas redondeadas 106">
              <a:extLst>
                <a:ext uri="{FF2B5EF4-FFF2-40B4-BE49-F238E27FC236}">
                  <a16:creationId xmlns:a16="http://schemas.microsoft.com/office/drawing/2014/main" id="{F3D3D814-B5A6-FABC-903F-89253FCD552E}"/>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Num Inicial</a:t>
              </a:r>
            </a:p>
          </xdr:txBody>
        </xdr:sp>
        <xdr:sp macro="" textlink="">
          <xdr:nvSpPr>
            <xdr:cNvPr id="108" name="Rectángulo: esquinas redondeadas 107">
              <a:extLst>
                <a:ext uri="{FF2B5EF4-FFF2-40B4-BE49-F238E27FC236}">
                  <a16:creationId xmlns:a16="http://schemas.microsoft.com/office/drawing/2014/main" id="{AD5BDE57-6352-D08F-29D8-AA62249CFFDA}"/>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9" name="Rectángulo: esquinas redondeadas 108">
              <a:extLst>
                <a:ext uri="{FF2B5EF4-FFF2-40B4-BE49-F238E27FC236}">
                  <a16:creationId xmlns:a16="http://schemas.microsoft.com/office/drawing/2014/main" id="{4DAB46B2-9574-C809-BFCA-C797DE0E6128}"/>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0" name="Rectángulo: esquinas redondeadas 109">
              <a:extLst>
                <a:ext uri="{FF2B5EF4-FFF2-40B4-BE49-F238E27FC236}">
                  <a16:creationId xmlns:a16="http://schemas.microsoft.com/office/drawing/2014/main" id="{AF717385-A2F6-57C6-2A4C-AC93478161A1}"/>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95" name="Grupo 94">
            <a:extLst>
              <a:ext uri="{FF2B5EF4-FFF2-40B4-BE49-F238E27FC236}">
                <a16:creationId xmlns:a16="http://schemas.microsoft.com/office/drawing/2014/main" id="{8B75BABF-255A-EF14-8F59-9E5E0E2F2255}"/>
              </a:ext>
            </a:extLst>
          </xdr:cNvPr>
          <xdr:cNvGrpSpPr/>
        </xdr:nvGrpSpPr>
        <xdr:grpSpPr>
          <a:xfrm>
            <a:off x="2324100" y="819150"/>
            <a:ext cx="6580575" cy="612000"/>
            <a:chOff x="2190749" y="2847975"/>
            <a:chExt cx="6580575" cy="612000"/>
          </a:xfrm>
        </xdr:grpSpPr>
        <xdr:sp macro="" textlink="">
          <xdr:nvSpPr>
            <xdr:cNvPr id="96" name="Rectángulo: esquinas redondeadas 95">
              <a:extLst>
                <a:ext uri="{FF2B5EF4-FFF2-40B4-BE49-F238E27FC236}">
                  <a16:creationId xmlns:a16="http://schemas.microsoft.com/office/drawing/2014/main" id="{435719D8-3C9F-79D7-64C2-4B4CF86CE3AF}"/>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que deseas encontrar.</a:t>
              </a:r>
            </a:p>
          </xdr:txBody>
        </xdr:sp>
        <xdr:pic>
          <xdr:nvPicPr>
            <xdr:cNvPr id="97" name="Gráfico 96" descr="Information con relleno sólido">
              <a:extLst>
                <a:ext uri="{FF2B5EF4-FFF2-40B4-BE49-F238E27FC236}">
                  <a16:creationId xmlns:a16="http://schemas.microsoft.com/office/drawing/2014/main" id="{39248670-E37C-1EBC-8B55-1B9FEBED36D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28850" y="2876550"/>
              <a:ext cx="161925" cy="161925"/>
            </a:xfrm>
            <a:prstGeom prst="rect">
              <a:avLst/>
            </a:prstGeom>
          </xdr:spPr>
        </xdr:pic>
        <xdr:sp macro="" textlink="">
          <xdr:nvSpPr>
            <xdr:cNvPr id="98" name="Rectángulo: esquinas redondeadas 97">
              <a:extLst>
                <a:ext uri="{FF2B5EF4-FFF2-40B4-BE49-F238E27FC236}">
                  <a16:creationId xmlns:a16="http://schemas.microsoft.com/office/drawing/2014/main" id="{84A321AF-CFEE-54BB-C7EE-EC901D065DED}"/>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donde se buscará texto_buscado.</a:t>
              </a:r>
            </a:p>
          </xdr:txBody>
        </xdr:sp>
        <xdr:pic>
          <xdr:nvPicPr>
            <xdr:cNvPr id="99" name="Gráfico 98" descr="Information con relleno sólido">
              <a:extLst>
                <a:ext uri="{FF2B5EF4-FFF2-40B4-BE49-F238E27FC236}">
                  <a16:creationId xmlns:a16="http://schemas.microsoft.com/office/drawing/2014/main" id="{4025FA87-CE75-D777-72F7-61347AD433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81525" y="2867025"/>
              <a:ext cx="161925" cy="161925"/>
            </a:xfrm>
            <a:prstGeom prst="rect">
              <a:avLst/>
            </a:prstGeom>
          </xdr:spPr>
        </xdr:pic>
        <xdr:sp macro="" textlink="">
          <xdr:nvSpPr>
            <xdr:cNvPr id="100" name="Rectángulo: esquinas redondeadas 99">
              <a:extLst>
                <a:ext uri="{FF2B5EF4-FFF2-40B4-BE49-F238E27FC236}">
                  <a16:creationId xmlns:a16="http://schemas.microsoft.com/office/drawing/2014/main" id="{455D6EE4-17E2-6784-EE28-0CC0129AC0B3}"/>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posición en dentro_de_texto desde la cual se empezará a buscar. Si se omite, la búsqueda comienza desde el principio del texto.</a:t>
              </a:r>
            </a:p>
          </xdr:txBody>
        </xdr:sp>
        <xdr:pic>
          <xdr:nvPicPr>
            <xdr:cNvPr id="101" name="Gráfico 100" descr="Information con relleno sólido">
              <a:extLst>
                <a:ext uri="{FF2B5EF4-FFF2-40B4-BE49-F238E27FC236}">
                  <a16:creationId xmlns:a16="http://schemas.microsoft.com/office/drawing/2014/main" id="{975A10D3-21E2-0676-F1A7-66DC7F1856E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52916</xdr:colOff>
      <xdr:row>137</xdr:row>
      <xdr:rowOff>52916</xdr:rowOff>
    </xdr:from>
    <xdr:to>
      <xdr:col>7</xdr:col>
      <xdr:colOff>549579</xdr:colOff>
      <xdr:row>142</xdr:row>
      <xdr:rowOff>21167</xdr:rowOff>
    </xdr:to>
    <xdr:grpSp>
      <xdr:nvGrpSpPr>
        <xdr:cNvPr id="111" name="Grupo 110">
          <a:extLst>
            <a:ext uri="{FF2B5EF4-FFF2-40B4-BE49-F238E27FC236}">
              <a16:creationId xmlns:a16="http://schemas.microsoft.com/office/drawing/2014/main" id="{9757BB7B-B9CB-4DD7-9452-9A9F21C85FC9}"/>
            </a:ext>
          </a:extLst>
        </xdr:cNvPr>
        <xdr:cNvGrpSpPr/>
      </xdr:nvGrpSpPr>
      <xdr:grpSpPr>
        <a:xfrm>
          <a:off x="167216" y="24513116"/>
          <a:ext cx="10212163" cy="857251"/>
          <a:chOff x="257175" y="1764506"/>
          <a:chExt cx="11412313" cy="1132417"/>
        </a:xfrm>
      </xdr:grpSpPr>
      <xdr:grpSp>
        <xdr:nvGrpSpPr>
          <xdr:cNvPr id="112" name="Grupo 111">
            <a:extLst>
              <a:ext uri="{FF2B5EF4-FFF2-40B4-BE49-F238E27FC236}">
                <a16:creationId xmlns:a16="http://schemas.microsoft.com/office/drawing/2014/main" id="{463E39FA-69A1-0BEB-9977-5BCF41672A63}"/>
              </a:ext>
            </a:extLst>
          </xdr:cNvPr>
          <xdr:cNvGrpSpPr/>
        </xdr:nvGrpSpPr>
        <xdr:grpSpPr>
          <a:xfrm>
            <a:off x="257175" y="1764506"/>
            <a:ext cx="11412313" cy="357869"/>
            <a:chOff x="295275" y="923925"/>
            <a:chExt cx="11382377" cy="352426"/>
          </a:xfrm>
        </xdr:grpSpPr>
        <xdr:sp macro="" textlink="">
          <xdr:nvSpPr>
            <xdr:cNvPr id="121" name="Rectángulo: esquinas redondeadas 120">
              <a:extLst>
                <a:ext uri="{FF2B5EF4-FFF2-40B4-BE49-F238E27FC236}">
                  <a16:creationId xmlns:a16="http://schemas.microsoft.com/office/drawing/2014/main" id="{8E00BBAF-5B36-2A95-1BFC-B79FCCA3E8B5}"/>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2" name="Rectángulo: esquinas redondeadas 121">
              <a:extLst>
                <a:ext uri="{FF2B5EF4-FFF2-40B4-BE49-F238E27FC236}">
                  <a16:creationId xmlns:a16="http://schemas.microsoft.com/office/drawing/2014/main" id="{E7B2EFDA-F645-055B-D1CE-FF4F8BF0908C}"/>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SUSTITUIR</a:t>
              </a:r>
            </a:p>
          </xdr:txBody>
        </xdr:sp>
        <xdr:sp macro="" textlink="">
          <xdr:nvSpPr>
            <xdr:cNvPr id="123" name="Rectángulo: esquinas redondeadas 122">
              <a:extLst>
                <a:ext uri="{FF2B5EF4-FFF2-40B4-BE49-F238E27FC236}">
                  <a16:creationId xmlns:a16="http://schemas.microsoft.com/office/drawing/2014/main" id="{52B47390-977D-DB90-E5D6-222E0EEE4355}"/>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4" name="Rectángulo: esquinas redondeadas 123">
              <a:extLst>
                <a:ext uri="{FF2B5EF4-FFF2-40B4-BE49-F238E27FC236}">
                  <a16:creationId xmlns:a16="http://schemas.microsoft.com/office/drawing/2014/main" id="{2BCC513E-068B-3031-19E0-79FF9ABD90BF}"/>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a:t>
              </a:r>
            </a:p>
          </xdr:txBody>
        </xdr:sp>
        <xdr:sp macro="" textlink="">
          <xdr:nvSpPr>
            <xdr:cNvPr id="125" name="Rectángulo: esquinas redondeadas 124">
              <a:extLst>
                <a:ext uri="{FF2B5EF4-FFF2-40B4-BE49-F238E27FC236}">
                  <a16:creationId xmlns:a16="http://schemas.microsoft.com/office/drawing/2014/main" id="{AF5CCB43-CE52-B914-0827-CFE31BE0C7BB}"/>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 Original</a:t>
              </a:r>
            </a:p>
          </xdr:txBody>
        </xdr:sp>
        <xdr:sp macro="" textlink="">
          <xdr:nvSpPr>
            <xdr:cNvPr id="126" name="Rectángulo: esquinas redondeadas 125">
              <a:extLst>
                <a:ext uri="{FF2B5EF4-FFF2-40B4-BE49-F238E27FC236}">
                  <a16:creationId xmlns:a16="http://schemas.microsoft.com/office/drawing/2014/main" id="{8268C31D-D3CC-D8FB-2921-963B57A74377}"/>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Texto Nuevo</a:t>
              </a:r>
            </a:p>
          </xdr:txBody>
        </xdr:sp>
        <xdr:sp macro="" textlink="">
          <xdr:nvSpPr>
            <xdr:cNvPr id="127" name="Rectángulo: esquinas redondeadas 126">
              <a:extLst>
                <a:ext uri="{FF2B5EF4-FFF2-40B4-BE49-F238E27FC236}">
                  <a16:creationId xmlns:a16="http://schemas.microsoft.com/office/drawing/2014/main" id="{9CF9FCE8-C577-3BC7-28A3-7B7BCB902128}"/>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8" name="Rectángulo: esquinas redondeadas 127">
              <a:extLst>
                <a:ext uri="{FF2B5EF4-FFF2-40B4-BE49-F238E27FC236}">
                  <a16:creationId xmlns:a16="http://schemas.microsoft.com/office/drawing/2014/main" id="{76D2A7DF-7D18-92CA-4B31-A399764C2583}"/>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9" name="Rectángulo: esquinas redondeadas 128">
              <a:extLst>
                <a:ext uri="{FF2B5EF4-FFF2-40B4-BE49-F238E27FC236}">
                  <a16:creationId xmlns:a16="http://schemas.microsoft.com/office/drawing/2014/main" id="{BFA3A61A-FB5C-2084-4E47-D52987A1CCD0}"/>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0" name="Rectángulo: esquinas redondeadas 129">
              <a:extLst>
                <a:ext uri="{FF2B5EF4-FFF2-40B4-BE49-F238E27FC236}">
                  <a16:creationId xmlns:a16="http://schemas.microsoft.com/office/drawing/2014/main" id="{07F579DD-74E3-8EE5-46AD-2FDAF7101434}"/>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[Num de Repeticiones]</a:t>
              </a:r>
            </a:p>
          </xdr:txBody>
        </xdr:sp>
        <xdr:sp macro="" textlink="">
          <xdr:nvSpPr>
            <xdr:cNvPr id="131" name="Rectángulo: esquinas redondeadas 130">
              <a:extLst>
                <a:ext uri="{FF2B5EF4-FFF2-40B4-BE49-F238E27FC236}">
                  <a16:creationId xmlns:a16="http://schemas.microsoft.com/office/drawing/2014/main" id="{B7D0E687-C9D5-A64B-2875-6E4C75EE51FF}"/>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13" name="Rectángulo: esquinas redondeadas 112">
            <a:extLst>
              <a:ext uri="{FF2B5EF4-FFF2-40B4-BE49-F238E27FC236}">
                <a16:creationId xmlns:a16="http://schemas.microsoft.com/office/drawing/2014/main" id="{1FF01578-736E-C1AF-C870-8D0BDBAF58C4}"/>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cadena de texto que quieres modificar.</a:t>
            </a:r>
          </a:p>
        </xdr:txBody>
      </xdr:sp>
      <xdr:pic>
        <xdr:nvPicPr>
          <xdr:cNvPr id="114" name="Gráfico 113" descr="Information con relleno sólido">
            <a:extLst>
              <a:ext uri="{FF2B5EF4-FFF2-40B4-BE49-F238E27FC236}">
                <a16:creationId xmlns:a16="http://schemas.microsoft.com/office/drawing/2014/main" id="{09E43CC6-DEDF-190C-D4C1-6B19D38E54B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37708" y="2273754"/>
            <a:ext cx="161925" cy="161925"/>
          </a:xfrm>
          <a:prstGeom prst="rect">
            <a:avLst/>
          </a:prstGeom>
        </xdr:spPr>
      </xdr:pic>
      <xdr:sp macro="" textlink="">
        <xdr:nvSpPr>
          <xdr:cNvPr id="115" name="Rectángulo: esquinas redondeadas 114">
            <a:extLst>
              <a:ext uri="{FF2B5EF4-FFF2-40B4-BE49-F238E27FC236}">
                <a16:creationId xmlns:a16="http://schemas.microsoft.com/office/drawing/2014/main" id="{DA2A2B71-7B1C-45C5-CC0F-4F4CB07F3811}"/>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texto dentro de texto_original que necesitas reemplazar.</a:t>
            </a:r>
          </a:p>
        </xdr:txBody>
      </xdr:sp>
      <xdr:pic>
        <xdr:nvPicPr>
          <xdr:cNvPr id="116" name="Gráfico 115" descr="Information con relleno sólido">
            <a:extLst>
              <a:ext uri="{FF2B5EF4-FFF2-40B4-BE49-F238E27FC236}">
                <a16:creationId xmlns:a16="http://schemas.microsoft.com/office/drawing/2014/main" id="{BCB1B6F2-5402-DBDC-93D4-A2E145212E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90383" y="2264229"/>
            <a:ext cx="161925" cy="161925"/>
          </a:xfrm>
          <a:prstGeom prst="rect">
            <a:avLst/>
          </a:prstGeom>
        </xdr:spPr>
      </xdr:pic>
      <xdr:sp macro="" textlink="">
        <xdr:nvSpPr>
          <xdr:cNvPr id="117" name="Rectángulo: esquinas redondeadas 116">
            <a:extLst>
              <a:ext uri="{FF2B5EF4-FFF2-40B4-BE49-F238E27FC236}">
                <a16:creationId xmlns:a16="http://schemas.microsoft.com/office/drawing/2014/main" id="{678294E9-77BE-3170-C6CD-DB37711F6E63}"/>
              </a:ext>
            </a:extLst>
          </xdr:cNvPr>
          <xdr:cNvSpPr/>
        </xdr:nvSpPr>
        <xdr:spPr>
          <a:xfrm>
            <a:off x="69001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texto que reemplazará a texto_antiguo en la cadena de texto original.</a:t>
            </a:r>
          </a:p>
        </xdr:txBody>
      </xdr:sp>
      <xdr:pic>
        <xdr:nvPicPr>
          <xdr:cNvPr id="118" name="Gráfico 117" descr="Information con relleno sólido">
            <a:extLst>
              <a:ext uri="{FF2B5EF4-FFF2-40B4-BE49-F238E27FC236}">
                <a16:creationId xmlns:a16="http://schemas.microsoft.com/office/drawing/2014/main" id="{3DFB59F1-AE1B-703B-DC27-178134CAE08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38283" y="2254704"/>
            <a:ext cx="161925" cy="161925"/>
          </a:xfrm>
          <a:prstGeom prst="rect">
            <a:avLst/>
          </a:prstGeom>
        </xdr:spPr>
      </xdr:pic>
      <xdr:sp macro="" textlink="">
        <xdr:nvSpPr>
          <xdr:cNvPr id="119" name="Rectángulo: esquinas redondeadas 118">
            <a:extLst>
              <a:ext uri="{FF2B5EF4-FFF2-40B4-BE49-F238E27FC236}">
                <a16:creationId xmlns:a16="http://schemas.microsoft.com/office/drawing/2014/main" id="{6DB58531-8344-FE0C-298E-A92495C39914}"/>
              </a:ext>
            </a:extLst>
          </xdr:cNvPr>
          <xdr:cNvSpPr/>
        </xdr:nvSpPr>
        <xdr:spPr>
          <a:xfrm>
            <a:off x="9338577" y="2261509"/>
            <a:ext cx="1980000" cy="635414"/>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Especifica cuál ocurrencia de texto_antiguo quieres reemplazar por texto_nuevo. Si se omite, todas las ocurrencias de texto_antiguo en texto_original serán reemplazadas por texto_nuevo.</a:t>
            </a:r>
          </a:p>
        </xdr:txBody>
      </xdr:sp>
      <xdr:pic>
        <xdr:nvPicPr>
          <xdr:cNvPr id="120" name="Gráfico 119" descr="Information con relleno sólido">
            <a:extLst>
              <a:ext uri="{FF2B5EF4-FFF2-40B4-BE49-F238E27FC236}">
                <a16:creationId xmlns:a16="http://schemas.microsoft.com/office/drawing/2014/main" id="{6405A8D2-C741-7C14-4F5B-439162D0A8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376678" y="2271034"/>
            <a:ext cx="161925" cy="161925"/>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986543</xdr:colOff>
      <xdr:row>4</xdr:row>
      <xdr:rowOff>177800</xdr:rowOff>
    </xdr:to>
    <xdr:sp macro="" textlink="">
      <xdr:nvSpPr>
        <xdr:cNvPr id="2" name="Rectángulo: esquinas redondeadas 1">
          <a:extLst>
            <a:ext uri="{FF2B5EF4-FFF2-40B4-BE49-F238E27FC236}">
              <a16:creationId xmlns:a16="http://schemas.microsoft.com/office/drawing/2014/main" id="{F8B3736E-FBC8-4AC9-8C2C-C2DC75A7F06F}"/>
            </a:ext>
          </a:extLst>
        </xdr:cNvPr>
        <xdr:cNvSpPr/>
      </xdr:nvSpPr>
      <xdr:spPr>
        <a:xfrm>
          <a:off x="123824" y="8191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8</xdr:col>
      <xdr:colOff>1032933</xdr:colOff>
      <xdr:row>7</xdr:row>
      <xdr:rowOff>179161</xdr:rowOff>
    </xdr:to>
    <xdr:sp macro="" textlink="">
      <xdr:nvSpPr>
        <xdr:cNvPr id="3" name="Rectángulo: esquinas redondeadas 2">
          <a:extLst>
            <a:ext uri="{FF2B5EF4-FFF2-40B4-BE49-F238E27FC236}">
              <a16:creationId xmlns:a16="http://schemas.microsoft.com/office/drawing/2014/main" id="{BFFBD5D5-D943-42A2-A874-C1041032F000}"/>
            </a:ext>
          </a:extLst>
        </xdr:cNvPr>
        <xdr:cNvSpPr/>
      </xdr:nvSpPr>
      <xdr:spPr>
        <a:xfrm>
          <a:off x="155573" y="1207861"/>
          <a:ext cx="13586885" cy="55245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CONTAR (COUNT en inglés) </a:t>
          </a:r>
          <a:r>
            <a:rPr lang="en-US" sz="1000" b="0">
              <a:solidFill>
                <a:schemeClr val="tx1"/>
              </a:solidFill>
              <a:latin typeface="Montserrat" panose="00000500000000000000" pitchFamily="2" charset="0"/>
              <a:ea typeface="+mn-ea"/>
              <a:cs typeface="+mn-cs"/>
            </a:rPr>
            <a:t>es una función en Excel que cuenta el número de celdas que contienen números dentro de un rango especificado. Es útil para determinar rápidamente cuántas celdas en un rango contienen valores numéricos, excluyendo celdas vacías, texto, o valores de error.</a:t>
          </a:r>
        </a:p>
      </xdr:txBody>
    </xdr:sp>
    <xdr:clientData/>
  </xdr:twoCellAnchor>
  <xdr:twoCellAnchor editAs="oneCell">
    <xdr:from>
      <xdr:col>0</xdr:col>
      <xdr:colOff>123824</xdr:colOff>
      <xdr:row>8</xdr:row>
      <xdr:rowOff>57150</xdr:rowOff>
    </xdr:from>
    <xdr:to>
      <xdr:col>8</xdr:col>
      <xdr:colOff>986543</xdr:colOff>
      <xdr:row>9</xdr:row>
      <xdr:rowOff>111125</xdr:rowOff>
    </xdr:to>
    <xdr:sp macro="" textlink="">
      <xdr:nvSpPr>
        <xdr:cNvPr id="4" name="Rectángulo: esquinas redondeadas 3">
          <a:extLst>
            <a:ext uri="{FF2B5EF4-FFF2-40B4-BE49-F238E27FC236}">
              <a16:creationId xmlns:a16="http://schemas.microsoft.com/office/drawing/2014/main" id="{7493E290-A424-4EC7-BE5D-EA2022881F40}"/>
            </a:ext>
          </a:extLst>
        </xdr:cNvPr>
        <xdr:cNvSpPr/>
      </xdr:nvSpPr>
      <xdr:spPr>
        <a:xfrm>
          <a:off x="123824" y="18859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986543</xdr:colOff>
      <xdr:row>18</xdr:row>
      <xdr:rowOff>73025</xdr:rowOff>
    </xdr:to>
    <xdr:sp macro="" textlink="">
      <xdr:nvSpPr>
        <xdr:cNvPr id="5" name="Rectángulo: esquinas redondeadas 4">
          <a:extLst>
            <a:ext uri="{FF2B5EF4-FFF2-40B4-BE49-F238E27FC236}">
              <a16:creationId xmlns:a16="http://schemas.microsoft.com/office/drawing/2014/main" id="{42D0DB0C-EDCF-4E54-B19A-ABBFC4D36B17}"/>
            </a:ext>
          </a:extLst>
        </xdr:cNvPr>
        <xdr:cNvSpPr/>
      </xdr:nvSpPr>
      <xdr:spPr>
        <a:xfrm>
          <a:off x="123824" y="3905250"/>
          <a:ext cx="135722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34</xdr:row>
      <xdr:rowOff>0</xdr:rowOff>
    </xdr:from>
    <xdr:to>
      <xdr:col>8</xdr:col>
      <xdr:colOff>1025525</xdr:colOff>
      <xdr:row>35</xdr:row>
      <xdr:rowOff>53975</xdr:rowOff>
    </xdr:to>
    <xdr:sp macro="" textlink="">
      <xdr:nvSpPr>
        <xdr:cNvPr id="6" name="Rectángulo: esquinas redondeadas 5">
          <a:extLst>
            <a:ext uri="{FF2B5EF4-FFF2-40B4-BE49-F238E27FC236}">
              <a16:creationId xmlns:a16="http://schemas.microsoft.com/office/drawing/2014/main" id="{0F3B4EF3-2726-42CE-8330-AA4836C7AAC9}"/>
            </a:ext>
          </a:extLst>
        </xdr:cNvPr>
        <xdr:cNvSpPr/>
      </xdr:nvSpPr>
      <xdr:spPr>
        <a:xfrm>
          <a:off x="123825" y="7772400"/>
          <a:ext cx="13601700"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38</xdr:row>
      <xdr:rowOff>190500</xdr:rowOff>
    </xdr:from>
    <xdr:to>
      <xdr:col>8</xdr:col>
      <xdr:colOff>1044574</xdr:colOff>
      <xdr:row>41</xdr:row>
      <xdr:rowOff>76199</xdr:rowOff>
    </xdr:to>
    <xdr:sp macro="" textlink="">
      <xdr:nvSpPr>
        <xdr:cNvPr id="7" name="Rectángulo: esquinas redondeadas 6">
          <a:extLst>
            <a:ext uri="{FF2B5EF4-FFF2-40B4-BE49-F238E27FC236}">
              <a16:creationId xmlns:a16="http://schemas.microsoft.com/office/drawing/2014/main" id="{7435CBFA-42D3-4E70-9588-0202F4C0AD04}"/>
            </a:ext>
          </a:extLst>
        </xdr:cNvPr>
        <xdr:cNvSpPr/>
      </xdr:nvSpPr>
      <xdr:spPr>
        <a:xfrm>
          <a:off x="95249" y="8877300"/>
          <a:ext cx="13658850" cy="56197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a:t>
          </a:r>
          <a:r>
            <a:rPr lang="en-US" sz="1000" b="0" baseline="0">
              <a:solidFill>
                <a:schemeClr val="tx1"/>
              </a:solidFill>
              <a:latin typeface="Montserrat" panose="00000500000000000000" pitchFamily="2" charset="0"/>
              <a:ea typeface="+mn-ea"/>
              <a:cs typeface="+mn-cs"/>
            </a:rPr>
            <a:t> cantidad de modelos que hay en la tabla.</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9524</xdr:colOff>
      <xdr:row>0</xdr:row>
      <xdr:rowOff>104775</xdr:rowOff>
    </xdr:from>
    <xdr:to>
      <xdr:col>8</xdr:col>
      <xdr:colOff>1083734</xdr:colOff>
      <xdr:row>2</xdr:row>
      <xdr:rowOff>177800</xdr:rowOff>
    </xdr:to>
    <xdr:grpSp>
      <xdr:nvGrpSpPr>
        <xdr:cNvPr id="8" name="Grupo 7">
          <a:extLst>
            <a:ext uri="{FF2B5EF4-FFF2-40B4-BE49-F238E27FC236}">
              <a16:creationId xmlns:a16="http://schemas.microsoft.com/office/drawing/2014/main" id="{88576DE3-A9FE-473D-A11B-1A602F622DD5}"/>
            </a:ext>
          </a:extLst>
        </xdr:cNvPr>
        <xdr:cNvGrpSpPr/>
      </xdr:nvGrpSpPr>
      <xdr:grpSpPr>
        <a:xfrm>
          <a:off x="125941" y="104775"/>
          <a:ext cx="12271376" cy="432858"/>
          <a:chOff x="136524" y="104775"/>
          <a:chExt cx="13664143" cy="541867"/>
        </a:xfrm>
      </xdr:grpSpPr>
      <xdr:sp macro="" textlink="">
        <xdr:nvSpPr>
          <xdr:cNvPr id="9" name="Rectángulo: esquinas redondeadas 8">
            <a:extLst>
              <a:ext uri="{FF2B5EF4-FFF2-40B4-BE49-F238E27FC236}">
                <a16:creationId xmlns:a16="http://schemas.microsoft.com/office/drawing/2014/main" id="{6A30BCE1-46DA-038D-F14F-E4DFF0B1D8E5}"/>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7904C8F3-CE82-9F53-79E8-353A4F4C54B9}"/>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CONTAR</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6B42239D-E414-DAC5-E36D-88F41CEC1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63</xdr:row>
      <xdr:rowOff>28575</xdr:rowOff>
    </xdr:from>
    <xdr:to>
      <xdr:col>8</xdr:col>
      <xdr:colOff>1024644</xdr:colOff>
      <xdr:row>64</xdr:row>
      <xdr:rowOff>82549</xdr:rowOff>
    </xdr:to>
    <xdr:sp macro="" textlink="">
      <xdr:nvSpPr>
        <xdr:cNvPr id="12" name="Rectángulo: esquinas redondeadas 11">
          <a:extLst>
            <a:ext uri="{FF2B5EF4-FFF2-40B4-BE49-F238E27FC236}">
              <a16:creationId xmlns:a16="http://schemas.microsoft.com/office/drawing/2014/main" id="{97A11469-593D-47D9-B0EE-BB7C70628C8D}"/>
            </a:ext>
          </a:extLst>
        </xdr:cNvPr>
        <xdr:cNvSpPr/>
      </xdr:nvSpPr>
      <xdr:spPr>
        <a:xfrm>
          <a:off x="152400" y="15344775"/>
          <a:ext cx="13581769"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64</xdr:row>
      <xdr:rowOff>161925</xdr:rowOff>
    </xdr:from>
    <xdr:to>
      <xdr:col>8</xdr:col>
      <xdr:colOff>1064684</xdr:colOff>
      <xdr:row>67</xdr:row>
      <xdr:rowOff>151342</xdr:rowOff>
    </xdr:to>
    <xdr:sp macro="" textlink="">
      <xdr:nvSpPr>
        <xdr:cNvPr id="13" name="Rectángulo: esquinas redondeadas 12">
          <a:extLst>
            <a:ext uri="{FF2B5EF4-FFF2-40B4-BE49-F238E27FC236}">
              <a16:creationId xmlns:a16="http://schemas.microsoft.com/office/drawing/2014/main" id="{175E320D-A9DF-4A29-B9C8-90E8DEF9521F}"/>
            </a:ext>
          </a:extLst>
        </xdr:cNvPr>
        <xdr:cNvSpPr/>
      </xdr:nvSpPr>
      <xdr:spPr>
        <a:xfrm>
          <a:off x="184149" y="15706725"/>
          <a:ext cx="13586885" cy="6752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CONTARA (COUNTA en inglés) </a:t>
          </a:r>
          <a:r>
            <a:rPr lang="en-US" sz="1000" b="0">
              <a:solidFill>
                <a:schemeClr val="tx1"/>
              </a:solidFill>
              <a:latin typeface="Montserrat" panose="00000500000000000000" pitchFamily="2" charset="0"/>
              <a:ea typeface="+mn-ea"/>
              <a:cs typeface="+mn-cs"/>
            </a:rPr>
            <a:t>es una función en Excel que cuenta el número de celdas que no están vacías en un rango especificado. A diferencia de CONTAR, que solo cuenta celdas con números, CONTARA incluye en su conteo celdas que contengan cualquier tipo de información, incluyendo números, texto, valores lógicos (VERDADERO/FALSO), errores o incluso fórmulas que devuelvan una cadena vacía.</a:t>
          </a:r>
        </a:p>
      </xdr:txBody>
    </xdr:sp>
    <xdr:clientData/>
  </xdr:twoCellAnchor>
  <xdr:twoCellAnchor editAs="oneCell">
    <xdr:from>
      <xdr:col>1</xdr:col>
      <xdr:colOff>14817</xdr:colOff>
      <xdr:row>68</xdr:row>
      <xdr:rowOff>65616</xdr:rowOff>
    </xdr:from>
    <xdr:to>
      <xdr:col>8</xdr:col>
      <xdr:colOff>1026761</xdr:colOff>
      <xdr:row>69</xdr:row>
      <xdr:rowOff>111125</xdr:rowOff>
    </xdr:to>
    <xdr:sp macro="" textlink="">
      <xdr:nvSpPr>
        <xdr:cNvPr id="14" name="Rectángulo: esquinas redondeadas 13">
          <a:extLst>
            <a:ext uri="{FF2B5EF4-FFF2-40B4-BE49-F238E27FC236}">
              <a16:creationId xmlns:a16="http://schemas.microsoft.com/office/drawing/2014/main" id="{11576702-384C-463E-9EFA-E552A8978EE5}"/>
            </a:ext>
          </a:extLst>
        </xdr:cNvPr>
        <xdr:cNvSpPr/>
      </xdr:nvSpPr>
      <xdr:spPr>
        <a:xfrm>
          <a:off x="138642" y="16524816"/>
          <a:ext cx="13588119" cy="26775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76</xdr:row>
      <xdr:rowOff>147108</xdr:rowOff>
    </xdr:from>
    <xdr:to>
      <xdr:col>8</xdr:col>
      <xdr:colOff>1024644</xdr:colOff>
      <xdr:row>78</xdr:row>
      <xdr:rowOff>2117</xdr:rowOff>
    </xdr:to>
    <xdr:sp macro="" textlink="">
      <xdr:nvSpPr>
        <xdr:cNvPr id="15" name="Rectángulo: esquinas redondeadas 14">
          <a:extLst>
            <a:ext uri="{FF2B5EF4-FFF2-40B4-BE49-F238E27FC236}">
              <a16:creationId xmlns:a16="http://schemas.microsoft.com/office/drawing/2014/main" id="{4AB962E6-4B4B-44D3-9377-FA1DA81084F1}"/>
            </a:ext>
          </a:extLst>
        </xdr:cNvPr>
        <xdr:cNvSpPr/>
      </xdr:nvSpPr>
      <xdr:spPr>
        <a:xfrm>
          <a:off x="152400" y="18435108"/>
          <a:ext cx="13581769" cy="2730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xdr:colOff>
      <xdr:row>93</xdr:row>
      <xdr:rowOff>106891</xdr:rowOff>
    </xdr:from>
    <xdr:to>
      <xdr:col>8</xdr:col>
      <xdr:colOff>1025526</xdr:colOff>
      <xdr:row>94</xdr:row>
      <xdr:rowOff>151340</xdr:rowOff>
    </xdr:to>
    <xdr:sp macro="" textlink="">
      <xdr:nvSpPr>
        <xdr:cNvPr id="16" name="Rectángulo: esquinas redondeadas 15">
          <a:extLst>
            <a:ext uri="{FF2B5EF4-FFF2-40B4-BE49-F238E27FC236}">
              <a16:creationId xmlns:a16="http://schemas.microsoft.com/office/drawing/2014/main" id="{45CBF50F-7B3B-4178-9C4A-52B1E904CEF1}"/>
            </a:ext>
          </a:extLst>
        </xdr:cNvPr>
        <xdr:cNvSpPr/>
      </xdr:nvSpPr>
      <xdr:spPr>
        <a:xfrm>
          <a:off x="127001" y="21760391"/>
          <a:ext cx="13602758" cy="27728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97</xdr:row>
      <xdr:rowOff>85724</xdr:rowOff>
    </xdr:from>
    <xdr:to>
      <xdr:col>8</xdr:col>
      <xdr:colOff>1089025</xdr:colOff>
      <xdr:row>99</xdr:row>
      <xdr:rowOff>178855</xdr:rowOff>
    </xdr:to>
    <xdr:sp macro="" textlink="">
      <xdr:nvSpPr>
        <xdr:cNvPr id="17" name="Rectángulo: esquinas redondeadas 16">
          <a:extLst>
            <a:ext uri="{FF2B5EF4-FFF2-40B4-BE49-F238E27FC236}">
              <a16:creationId xmlns:a16="http://schemas.microsoft.com/office/drawing/2014/main" id="{E72CE79F-B9D2-4327-90CB-7551899BFCE7}"/>
            </a:ext>
          </a:extLst>
        </xdr:cNvPr>
        <xdr:cNvSpPr/>
      </xdr:nvSpPr>
      <xdr:spPr>
        <a:xfrm>
          <a:off x="127000" y="22670557"/>
          <a:ext cx="13672608" cy="571498"/>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marcas que hay en la tabla</a:t>
          </a:r>
        </a:p>
      </xdr:txBody>
    </xdr:sp>
    <xdr:clientData/>
  </xdr:twoCellAnchor>
  <xdr:twoCellAnchor editAs="oneCell">
    <xdr:from>
      <xdr:col>1</xdr:col>
      <xdr:colOff>44450</xdr:colOff>
      <xdr:row>60</xdr:row>
      <xdr:rowOff>0</xdr:rowOff>
    </xdr:from>
    <xdr:to>
      <xdr:col>8</xdr:col>
      <xdr:colOff>1140885</xdr:colOff>
      <xdr:row>62</xdr:row>
      <xdr:rowOff>73025</xdr:rowOff>
    </xdr:to>
    <xdr:grpSp>
      <xdr:nvGrpSpPr>
        <xdr:cNvPr id="18" name="Grupo 17">
          <a:extLst>
            <a:ext uri="{FF2B5EF4-FFF2-40B4-BE49-F238E27FC236}">
              <a16:creationId xmlns:a16="http://schemas.microsoft.com/office/drawing/2014/main" id="{05BB97F0-F99C-46AA-939B-956940C58B0B}"/>
            </a:ext>
          </a:extLst>
        </xdr:cNvPr>
        <xdr:cNvGrpSpPr/>
      </xdr:nvGrpSpPr>
      <xdr:grpSpPr>
        <a:xfrm>
          <a:off x="160867" y="10837333"/>
          <a:ext cx="12293601" cy="432859"/>
          <a:chOff x="136524" y="104775"/>
          <a:chExt cx="13664143" cy="541867"/>
        </a:xfrm>
      </xdr:grpSpPr>
      <xdr:sp macro="" textlink="">
        <xdr:nvSpPr>
          <xdr:cNvPr id="19" name="Rectángulo: esquinas redondeadas 18">
            <a:extLst>
              <a:ext uri="{FF2B5EF4-FFF2-40B4-BE49-F238E27FC236}">
                <a16:creationId xmlns:a16="http://schemas.microsoft.com/office/drawing/2014/main" id="{7BCB5A3C-4655-D1B9-2F44-D3E320428472}"/>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C68275A6-05F9-312E-5389-A6C17B9A41DF}"/>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CONTARA</a:t>
            </a:r>
          </a:p>
        </xdr:txBody>
      </xdr:sp>
      <xdr:pic>
        <xdr:nvPicPr>
          <xdr:cNvPr id="21" name="Gráfico 20" descr="Search Inventory con relleno sólido">
            <a:extLst>
              <a:ext uri="{FF2B5EF4-FFF2-40B4-BE49-F238E27FC236}">
                <a16:creationId xmlns:a16="http://schemas.microsoft.com/office/drawing/2014/main" id="{753E6951-0984-4027-C25E-C86264B7385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EDB8B818-06C9-326B-7104-986B115A2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116</xdr:row>
      <xdr:rowOff>197908</xdr:rowOff>
    </xdr:from>
    <xdr:to>
      <xdr:col>8</xdr:col>
      <xdr:colOff>1025702</xdr:colOff>
      <xdr:row>118</xdr:row>
      <xdr:rowOff>1763</xdr:rowOff>
    </xdr:to>
    <xdr:sp macro="" textlink="">
      <xdr:nvSpPr>
        <xdr:cNvPr id="41" name="Rectángulo: esquinas redondeadas 40">
          <a:extLst>
            <a:ext uri="{FF2B5EF4-FFF2-40B4-BE49-F238E27FC236}">
              <a16:creationId xmlns:a16="http://schemas.microsoft.com/office/drawing/2014/main" id="{D1CDFA28-2925-4AEC-9A45-A258349D71B6}"/>
            </a:ext>
          </a:extLst>
        </xdr:cNvPr>
        <xdr:cNvSpPr/>
      </xdr:nvSpPr>
      <xdr:spPr>
        <a:xfrm>
          <a:off x="143933" y="27172708"/>
          <a:ext cx="13588119" cy="25823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118</xdr:row>
      <xdr:rowOff>77258</xdr:rowOff>
    </xdr:from>
    <xdr:to>
      <xdr:col>8</xdr:col>
      <xdr:colOff>1062567</xdr:colOff>
      <xdr:row>121</xdr:row>
      <xdr:rowOff>33867</xdr:rowOff>
    </xdr:to>
    <xdr:sp macro="" textlink="">
      <xdr:nvSpPr>
        <xdr:cNvPr id="42" name="Rectángulo: esquinas redondeadas 41">
          <a:extLst>
            <a:ext uri="{FF2B5EF4-FFF2-40B4-BE49-F238E27FC236}">
              <a16:creationId xmlns:a16="http://schemas.microsoft.com/office/drawing/2014/main" id="{D70B1959-8A2D-4B37-928C-2FB8D9DD42E1}"/>
            </a:ext>
          </a:extLst>
        </xdr:cNvPr>
        <xdr:cNvSpPr/>
      </xdr:nvSpPr>
      <xdr:spPr>
        <a:xfrm>
          <a:off x="175682" y="27509258"/>
          <a:ext cx="13586885" cy="63605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CONTAR.BLANCO (COUNTBLANK en inglés) </a:t>
          </a:r>
          <a:r>
            <a:rPr lang="en-US" sz="1000" b="0">
              <a:solidFill>
                <a:schemeClr val="tx1"/>
              </a:solidFill>
              <a:latin typeface="Montserrat" panose="00000500000000000000" pitchFamily="2" charset="0"/>
              <a:ea typeface="+mn-ea"/>
              <a:cs typeface="+mn-cs"/>
            </a:rPr>
            <a:t>es una función en Excel que cuenta el número de celdas vacías en un rango especificado. Esta función es útil para identificar rápidamente cuántas celdas no contienen ningún dato en un rango dado, lo cual puede ser especialmente valioso en la limpieza de datos o en la evaluación de la completitud de la información recopilada.</a:t>
          </a:r>
        </a:p>
      </xdr:txBody>
    </xdr:sp>
    <xdr:clientData/>
  </xdr:twoCellAnchor>
  <xdr:twoCellAnchor editAs="oneCell">
    <xdr:from>
      <xdr:col>1</xdr:col>
      <xdr:colOff>0</xdr:colOff>
      <xdr:row>121</xdr:row>
      <xdr:rowOff>150282</xdr:rowOff>
    </xdr:from>
    <xdr:to>
      <xdr:col>8</xdr:col>
      <xdr:colOff>1005594</xdr:colOff>
      <xdr:row>122</xdr:row>
      <xdr:rowOff>176740</xdr:rowOff>
    </xdr:to>
    <xdr:sp macro="" textlink="">
      <xdr:nvSpPr>
        <xdr:cNvPr id="43" name="Rectángulo: esquinas redondeadas 42">
          <a:extLst>
            <a:ext uri="{FF2B5EF4-FFF2-40B4-BE49-F238E27FC236}">
              <a16:creationId xmlns:a16="http://schemas.microsoft.com/office/drawing/2014/main" id="{4B052EB7-86A4-4381-9AD7-0B358C53E6B0}"/>
            </a:ext>
          </a:extLst>
        </xdr:cNvPr>
        <xdr:cNvSpPr/>
      </xdr:nvSpPr>
      <xdr:spPr>
        <a:xfrm>
          <a:off x="123825" y="28268082"/>
          <a:ext cx="13591294" cy="26140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131</xdr:row>
      <xdr:rowOff>116416</xdr:rowOff>
    </xdr:from>
    <xdr:to>
      <xdr:col>8</xdr:col>
      <xdr:colOff>1024644</xdr:colOff>
      <xdr:row>132</xdr:row>
      <xdr:rowOff>173568</xdr:rowOff>
    </xdr:to>
    <xdr:sp macro="" textlink="">
      <xdr:nvSpPr>
        <xdr:cNvPr id="44" name="Rectángulo: esquinas redondeadas 43">
          <a:extLst>
            <a:ext uri="{FF2B5EF4-FFF2-40B4-BE49-F238E27FC236}">
              <a16:creationId xmlns:a16="http://schemas.microsoft.com/office/drawing/2014/main" id="{CA516794-FC6D-485A-878E-66002A583D17}"/>
            </a:ext>
          </a:extLst>
        </xdr:cNvPr>
        <xdr:cNvSpPr/>
      </xdr:nvSpPr>
      <xdr:spPr>
        <a:xfrm>
          <a:off x="133350" y="30520216"/>
          <a:ext cx="13591294" cy="28575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122768</xdr:colOff>
      <xdr:row>148</xdr:row>
      <xdr:rowOff>164041</xdr:rowOff>
    </xdr:from>
    <xdr:to>
      <xdr:col>8</xdr:col>
      <xdr:colOff>1024468</xdr:colOff>
      <xdr:row>149</xdr:row>
      <xdr:rowOff>176738</xdr:rowOff>
    </xdr:to>
    <xdr:sp macro="" textlink="">
      <xdr:nvSpPr>
        <xdr:cNvPr id="45" name="Rectángulo: esquinas redondeadas 44">
          <a:extLst>
            <a:ext uri="{FF2B5EF4-FFF2-40B4-BE49-F238E27FC236}">
              <a16:creationId xmlns:a16="http://schemas.microsoft.com/office/drawing/2014/main" id="{307EF4BF-9082-48A3-80DF-83E8F38E4314}"/>
            </a:ext>
          </a:extLst>
        </xdr:cNvPr>
        <xdr:cNvSpPr/>
      </xdr:nvSpPr>
      <xdr:spPr>
        <a:xfrm>
          <a:off x="122768" y="34623374"/>
          <a:ext cx="13612283" cy="28998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39158</xdr:colOff>
      <xdr:row>114</xdr:row>
      <xdr:rowOff>0</xdr:rowOff>
    </xdr:from>
    <xdr:to>
      <xdr:col>8</xdr:col>
      <xdr:colOff>1122893</xdr:colOff>
      <xdr:row>116</xdr:row>
      <xdr:rowOff>21165</xdr:rowOff>
    </xdr:to>
    <xdr:grpSp>
      <xdr:nvGrpSpPr>
        <xdr:cNvPr id="46" name="Grupo 45">
          <a:extLst>
            <a:ext uri="{FF2B5EF4-FFF2-40B4-BE49-F238E27FC236}">
              <a16:creationId xmlns:a16="http://schemas.microsoft.com/office/drawing/2014/main" id="{E55B89D7-8F37-4A1B-94C6-DB5B85BF1561}"/>
            </a:ext>
          </a:extLst>
        </xdr:cNvPr>
        <xdr:cNvGrpSpPr/>
      </xdr:nvGrpSpPr>
      <xdr:grpSpPr>
        <a:xfrm>
          <a:off x="155575" y="20595167"/>
          <a:ext cx="12280901" cy="380998"/>
          <a:chOff x="136524" y="104775"/>
          <a:chExt cx="13664143" cy="541867"/>
        </a:xfrm>
      </xdr:grpSpPr>
      <xdr:sp macro="" textlink="">
        <xdr:nvSpPr>
          <xdr:cNvPr id="47" name="Rectángulo: esquinas redondeadas 46">
            <a:extLst>
              <a:ext uri="{FF2B5EF4-FFF2-40B4-BE49-F238E27FC236}">
                <a16:creationId xmlns:a16="http://schemas.microsoft.com/office/drawing/2014/main" id="{F00663F0-AA21-D44A-38C7-A464A185F69B}"/>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8" name="CuadroTexto 47">
            <a:extLst>
              <a:ext uri="{FF2B5EF4-FFF2-40B4-BE49-F238E27FC236}">
                <a16:creationId xmlns:a16="http://schemas.microsoft.com/office/drawing/2014/main" id="{C6AA545B-97CC-2153-D593-508798F4D212}"/>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CONTAR.BLANCO</a:t>
            </a:r>
          </a:p>
        </xdr:txBody>
      </xdr:sp>
      <xdr:pic>
        <xdr:nvPicPr>
          <xdr:cNvPr id="49" name="Gráfico 48" descr="Search Inventory con relleno sólido">
            <a:extLst>
              <a:ext uri="{FF2B5EF4-FFF2-40B4-BE49-F238E27FC236}">
                <a16:creationId xmlns:a16="http://schemas.microsoft.com/office/drawing/2014/main" id="{BA1DA470-861A-DBF3-01D1-79A7C6C21C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50" name="Gráfico 49" descr="Circle with left arrow con relleno sólido">
            <a:hlinkClick xmlns:r="http://schemas.openxmlformats.org/officeDocument/2006/relationships" r:id="rId1"/>
            <a:extLst>
              <a:ext uri="{FF2B5EF4-FFF2-40B4-BE49-F238E27FC236}">
                <a16:creationId xmlns:a16="http://schemas.microsoft.com/office/drawing/2014/main" id="{F0E5F937-8439-F998-F772-695508FAF64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0</xdr:colOff>
      <xdr:row>152</xdr:row>
      <xdr:rowOff>63499</xdr:rowOff>
    </xdr:from>
    <xdr:to>
      <xdr:col>8</xdr:col>
      <xdr:colOff>1089025</xdr:colOff>
      <xdr:row>154</xdr:row>
      <xdr:rowOff>169330</xdr:rowOff>
    </xdr:to>
    <xdr:sp macro="" textlink="">
      <xdr:nvSpPr>
        <xdr:cNvPr id="51" name="Rectángulo: esquinas redondeadas 50">
          <a:extLst>
            <a:ext uri="{FF2B5EF4-FFF2-40B4-BE49-F238E27FC236}">
              <a16:creationId xmlns:a16="http://schemas.microsoft.com/office/drawing/2014/main" id="{F3F24CCA-9DEE-4EFF-BAA7-A10B5A0D772B}"/>
            </a:ext>
          </a:extLst>
        </xdr:cNvPr>
        <xdr:cNvSpPr/>
      </xdr:nvSpPr>
      <xdr:spPr>
        <a:xfrm>
          <a:off x="123825" y="34810699"/>
          <a:ext cx="13674725" cy="563031"/>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marcas de helados faltantes</a:t>
          </a:r>
        </a:p>
      </xdr:txBody>
    </xdr:sp>
    <xdr:clientData/>
  </xdr:twoCellAnchor>
  <xdr:twoCellAnchor editAs="oneCell">
    <xdr:from>
      <xdr:col>1</xdr:col>
      <xdr:colOff>168274</xdr:colOff>
      <xdr:row>0</xdr:row>
      <xdr:rowOff>137584</xdr:rowOff>
    </xdr:from>
    <xdr:to>
      <xdr:col>1</xdr:col>
      <xdr:colOff>645583</xdr:colOff>
      <xdr:row>3</xdr:row>
      <xdr:rowOff>3197</xdr:rowOff>
    </xdr:to>
    <xdr:pic>
      <xdr:nvPicPr>
        <xdr:cNvPr id="52" name="Gráfico 51" descr="Left Brain con relleno sólido">
          <a:extLst>
            <a:ext uri="{FF2B5EF4-FFF2-40B4-BE49-F238E27FC236}">
              <a16:creationId xmlns:a16="http://schemas.microsoft.com/office/drawing/2014/main" id="{3EB3267E-C4F7-43B0-9269-C6AF02E065C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2099" y="137584"/>
          <a:ext cx="470959" cy="518605"/>
        </a:xfrm>
        <a:prstGeom prst="rect">
          <a:avLst/>
        </a:prstGeom>
      </xdr:spPr>
    </xdr:pic>
    <xdr:clientData/>
  </xdr:twoCellAnchor>
  <xdr:twoCellAnchor editAs="oneCell">
    <xdr:from>
      <xdr:col>1</xdr:col>
      <xdr:colOff>74083</xdr:colOff>
      <xdr:row>10</xdr:row>
      <xdr:rowOff>148167</xdr:rowOff>
    </xdr:from>
    <xdr:to>
      <xdr:col>4</xdr:col>
      <xdr:colOff>1043518</xdr:colOff>
      <xdr:row>15</xdr:row>
      <xdr:rowOff>93342</xdr:rowOff>
    </xdr:to>
    <xdr:grpSp>
      <xdr:nvGrpSpPr>
        <xdr:cNvPr id="92" name="Grupo 91">
          <a:extLst>
            <a:ext uri="{FF2B5EF4-FFF2-40B4-BE49-F238E27FC236}">
              <a16:creationId xmlns:a16="http://schemas.microsoft.com/office/drawing/2014/main" id="{4C84FA96-4965-4190-8835-9762A40B3462}"/>
            </a:ext>
          </a:extLst>
        </xdr:cNvPr>
        <xdr:cNvGrpSpPr/>
      </xdr:nvGrpSpPr>
      <xdr:grpSpPr>
        <a:xfrm>
          <a:off x="190500" y="1947334"/>
          <a:ext cx="6165851" cy="844758"/>
          <a:chOff x="229961" y="3365726"/>
          <a:chExt cx="6800852" cy="1099817"/>
        </a:xfrm>
      </xdr:grpSpPr>
      <xdr:grpSp>
        <xdr:nvGrpSpPr>
          <xdr:cNvPr id="93" name="Grupo 92">
            <a:extLst>
              <a:ext uri="{FF2B5EF4-FFF2-40B4-BE49-F238E27FC236}">
                <a16:creationId xmlns:a16="http://schemas.microsoft.com/office/drawing/2014/main" id="{5D389837-F89E-F8BE-9700-9B6347D44D70}"/>
              </a:ext>
            </a:extLst>
          </xdr:cNvPr>
          <xdr:cNvGrpSpPr/>
        </xdr:nvGrpSpPr>
        <xdr:grpSpPr>
          <a:xfrm>
            <a:off x="229961" y="3365726"/>
            <a:ext cx="6800852" cy="355148"/>
            <a:chOff x="304800" y="1466850"/>
            <a:chExt cx="6781802" cy="352426"/>
          </a:xfrm>
        </xdr:grpSpPr>
        <xdr:sp macro="" textlink="">
          <xdr:nvSpPr>
            <xdr:cNvPr id="98" name="Rectángulo: esquinas redondeadas 97">
              <a:extLst>
                <a:ext uri="{FF2B5EF4-FFF2-40B4-BE49-F238E27FC236}">
                  <a16:creationId xmlns:a16="http://schemas.microsoft.com/office/drawing/2014/main" id="{AA7F2EFC-4D5F-20FD-8254-D64D9636FA81}"/>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9" name="Rectángulo: esquinas redondeadas 98">
              <a:extLst>
                <a:ext uri="{FF2B5EF4-FFF2-40B4-BE49-F238E27FC236}">
                  <a16:creationId xmlns:a16="http://schemas.microsoft.com/office/drawing/2014/main" id="{F325E422-3FED-B51A-FB10-DDDC285FE798}"/>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CONTAR</a:t>
              </a:r>
            </a:p>
          </xdr:txBody>
        </xdr:sp>
        <xdr:sp macro="" textlink="">
          <xdr:nvSpPr>
            <xdr:cNvPr id="100" name="Rectángulo: esquinas redondeadas 99">
              <a:extLst>
                <a:ext uri="{FF2B5EF4-FFF2-40B4-BE49-F238E27FC236}">
                  <a16:creationId xmlns:a16="http://schemas.microsoft.com/office/drawing/2014/main" id="{25309CD0-3DD5-D5BC-67B2-0A1FB0569A36}"/>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1" name="Rectángulo: esquinas redondeadas 100">
              <a:extLst>
                <a:ext uri="{FF2B5EF4-FFF2-40B4-BE49-F238E27FC236}">
                  <a16:creationId xmlns:a16="http://schemas.microsoft.com/office/drawing/2014/main" id="{83257EFA-9B61-A438-634D-0AD2E5F02D33}"/>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1</a:t>
              </a:r>
            </a:p>
          </xdr:txBody>
        </xdr:sp>
        <xdr:sp macro="" textlink="">
          <xdr:nvSpPr>
            <xdr:cNvPr id="102" name="Rectángulo: esquinas redondeadas 101">
              <a:extLst>
                <a:ext uri="{FF2B5EF4-FFF2-40B4-BE49-F238E27FC236}">
                  <a16:creationId xmlns:a16="http://schemas.microsoft.com/office/drawing/2014/main" id="{AFF9D7AC-7C70-94FB-87AA-9750948FEFAE}"/>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2]...</a:t>
              </a:r>
            </a:p>
          </xdr:txBody>
        </xdr:sp>
        <xdr:sp macro="" textlink="">
          <xdr:nvSpPr>
            <xdr:cNvPr id="103" name="Rectángulo: esquinas redondeadas 102">
              <a:extLst>
                <a:ext uri="{FF2B5EF4-FFF2-40B4-BE49-F238E27FC236}">
                  <a16:creationId xmlns:a16="http://schemas.microsoft.com/office/drawing/2014/main" id="{EE78B65A-E3DA-8EC7-0E6E-551ADDDD745E}"/>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4" name="Rectángulo: esquinas redondeadas 103">
              <a:extLst>
                <a:ext uri="{FF2B5EF4-FFF2-40B4-BE49-F238E27FC236}">
                  <a16:creationId xmlns:a16="http://schemas.microsoft.com/office/drawing/2014/main" id="{9E26C122-F8E3-432D-CCA1-251B29CA5B67}"/>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94" name="Rectángulo: esquinas redondeadas 93">
            <a:extLst>
              <a:ext uri="{FF2B5EF4-FFF2-40B4-BE49-F238E27FC236}">
                <a16:creationId xmlns:a16="http://schemas.microsoft.com/office/drawing/2014/main" id="{AAADA007-85B5-9803-E4C3-82109D3B5BAA}"/>
              </a:ext>
            </a:extLst>
          </xdr:cNvPr>
          <xdr:cNvSpPr/>
        </xdr:nvSpPr>
        <xdr:spPr>
          <a:xfrm>
            <a:off x="2288721" y="3853543"/>
            <a:ext cx="441824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Los rangos de celdas, números individuales o referencias a evaluar. La función CONTAR revisará cada argumento y contará solo aquellos que contengan números.</a:t>
            </a:r>
          </a:p>
        </xdr:txBody>
      </xdr:sp>
      <xdr:pic>
        <xdr:nvPicPr>
          <xdr:cNvPr id="95" name="Gráfico 94" descr="Information con relleno sólido">
            <a:extLst>
              <a:ext uri="{FF2B5EF4-FFF2-40B4-BE49-F238E27FC236}">
                <a16:creationId xmlns:a16="http://schemas.microsoft.com/office/drawing/2014/main" id="{4257962F-128A-7B12-4150-370E4E5F784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grpSp>
    <xdr:clientData/>
  </xdr:twoCellAnchor>
  <xdr:twoCellAnchor editAs="oneCell">
    <xdr:from>
      <xdr:col>1</xdr:col>
      <xdr:colOff>42334</xdr:colOff>
      <xdr:row>70</xdr:row>
      <xdr:rowOff>52917</xdr:rowOff>
    </xdr:from>
    <xdr:to>
      <xdr:col>4</xdr:col>
      <xdr:colOff>1011769</xdr:colOff>
      <xdr:row>74</xdr:row>
      <xdr:rowOff>176950</xdr:rowOff>
    </xdr:to>
    <xdr:grpSp>
      <xdr:nvGrpSpPr>
        <xdr:cNvPr id="105" name="Grupo 104">
          <a:extLst>
            <a:ext uri="{FF2B5EF4-FFF2-40B4-BE49-F238E27FC236}">
              <a16:creationId xmlns:a16="http://schemas.microsoft.com/office/drawing/2014/main" id="{A0E2A39E-CCCC-43A8-BF7C-C77F7CA32CE9}"/>
            </a:ext>
          </a:extLst>
        </xdr:cNvPr>
        <xdr:cNvGrpSpPr/>
      </xdr:nvGrpSpPr>
      <xdr:grpSpPr>
        <a:xfrm>
          <a:off x="158751" y="12689417"/>
          <a:ext cx="6165851" cy="843700"/>
          <a:chOff x="229961" y="3365726"/>
          <a:chExt cx="6800852" cy="1099817"/>
        </a:xfrm>
      </xdr:grpSpPr>
      <xdr:grpSp>
        <xdr:nvGrpSpPr>
          <xdr:cNvPr id="106" name="Grupo 105">
            <a:extLst>
              <a:ext uri="{FF2B5EF4-FFF2-40B4-BE49-F238E27FC236}">
                <a16:creationId xmlns:a16="http://schemas.microsoft.com/office/drawing/2014/main" id="{FAEFFB6D-4F74-DA31-3B29-65C656CA54A0}"/>
              </a:ext>
            </a:extLst>
          </xdr:cNvPr>
          <xdr:cNvGrpSpPr/>
        </xdr:nvGrpSpPr>
        <xdr:grpSpPr>
          <a:xfrm>
            <a:off x="229961" y="3365726"/>
            <a:ext cx="6800852" cy="355148"/>
            <a:chOff x="304800" y="1466850"/>
            <a:chExt cx="6781802" cy="352426"/>
          </a:xfrm>
        </xdr:grpSpPr>
        <xdr:sp macro="" textlink="">
          <xdr:nvSpPr>
            <xdr:cNvPr id="109" name="Rectángulo: esquinas redondeadas 108">
              <a:extLst>
                <a:ext uri="{FF2B5EF4-FFF2-40B4-BE49-F238E27FC236}">
                  <a16:creationId xmlns:a16="http://schemas.microsoft.com/office/drawing/2014/main" id="{9D93C89D-58C7-C776-B51F-F18FD89FCC90}"/>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0" name="Rectángulo: esquinas redondeadas 109">
              <a:extLst>
                <a:ext uri="{FF2B5EF4-FFF2-40B4-BE49-F238E27FC236}">
                  <a16:creationId xmlns:a16="http://schemas.microsoft.com/office/drawing/2014/main" id="{2E49EE4D-2274-80C8-FB63-1F609E18526C}"/>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CONTARA</a:t>
              </a:r>
            </a:p>
          </xdr:txBody>
        </xdr:sp>
        <xdr:sp macro="" textlink="">
          <xdr:nvSpPr>
            <xdr:cNvPr id="111" name="Rectángulo: esquinas redondeadas 110">
              <a:extLst>
                <a:ext uri="{FF2B5EF4-FFF2-40B4-BE49-F238E27FC236}">
                  <a16:creationId xmlns:a16="http://schemas.microsoft.com/office/drawing/2014/main" id="{4EC5655F-BFC0-7E2B-946D-E2E3C2C7D961}"/>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2" name="Rectángulo: esquinas redondeadas 111">
              <a:extLst>
                <a:ext uri="{FF2B5EF4-FFF2-40B4-BE49-F238E27FC236}">
                  <a16:creationId xmlns:a16="http://schemas.microsoft.com/office/drawing/2014/main" id="{E38C99B3-9633-66D6-C7B5-6860D0D7AC69}"/>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1</a:t>
              </a:r>
            </a:p>
          </xdr:txBody>
        </xdr:sp>
        <xdr:sp macro="" textlink="">
          <xdr:nvSpPr>
            <xdr:cNvPr id="113" name="Rectángulo: esquinas redondeadas 112">
              <a:extLst>
                <a:ext uri="{FF2B5EF4-FFF2-40B4-BE49-F238E27FC236}">
                  <a16:creationId xmlns:a16="http://schemas.microsoft.com/office/drawing/2014/main" id="{A4994B5A-127A-7696-2A72-165107C242DA}"/>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2]...</a:t>
              </a:r>
            </a:p>
          </xdr:txBody>
        </xdr:sp>
        <xdr:sp macro="" textlink="">
          <xdr:nvSpPr>
            <xdr:cNvPr id="114" name="Rectángulo: esquinas redondeadas 113">
              <a:extLst>
                <a:ext uri="{FF2B5EF4-FFF2-40B4-BE49-F238E27FC236}">
                  <a16:creationId xmlns:a16="http://schemas.microsoft.com/office/drawing/2014/main" id="{4492D9A8-E14F-6CAF-30F0-55108BE7C9C1}"/>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5" name="Rectángulo: esquinas redondeadas 114">
              <a:extLst>
                <a:ext uri="{FF2B5EF4-FFF2-40B4-BE49-F238E27FC236}">
                  <a16:creationId xmlns:a16="http://schemas.microsoft.com/office/drawing/2014/main" id="{3EC07BA8-FADF-4FA3-558A-0655C8C9535E}"/>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07" name="Rectángulo: esquinas redondeadas 106">
            <a:extLst>
              <a:ext uri="{FF2B5EF4-FFF2-40B4-BE49-F238E27FC236}">
                <a16:creationId xmlns:a16="http://schemas.microsoft.com/office/drawing/2014/main" id="{FC654AF3-D4CA-3033-311B-D8507F848A14}"/>
              </a:ext>
            </a:extLst>
          </xdr:cNvPr>
          <xdr:cNvSpPr/>
        </xdr:nvSpPr>
        <xdr:spPr>
          <a:xfrm>
            <a:off x="2288721" y="3853543"/>
            <a:ext cx="441824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Los rangos de celdas, números individuales, texto, o referencias a evaluar. La función CONTARA revisará cada argumento y contará aquellos que no estén vacíos.</a:t>
            </a:r>
          </a:p>
        </xdr:txBody>
      </xdr:sp>
      <xdr:pic>
        <xdr:nvPicPr>
          <xdr:cNvPr id="108" name="Gráfico 107" descr="Information con relleno sólido">
            <a:extLst>
              <a:ext uri="{FF2B5EF4-FFF2-40B4-BE49-F238E27FC236}">
                <a16:creationId xmlns:a16="http://schemas.microsoft.com/office/drawing/2014/main" id="{35EDC492-3C9D-5859-A5E1-A28190EF91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grpSp>
    <xdr:clientData/>
  </xdr:twoCellAnchor>
  <xdr:twoCellAnchor editAs="oneCell">
    <xdr:from>
      <xdr:col>1</xdr:col>
      <xdr:colOff>0</xdr:colOff>
      <xdr:row>124</xdr:row>
      <xdr:rowOff>105832</xdr:rowOff>
    </xdr:from>
    <xdr:to>
      <xdr:col>2</xdr:col>
      <xdr:colOff>1349680</xdr:colOff>
      <xdr:row>129</xdr:row>
      <xdr:rowOff>77203</xdr:rowOff>
    </xdr:to>
    <xdr:grpSp>
      <xdr:nvGrpSpPr>
        <xdr:cNvPr id="125" name="Grupo 124">
          <a:extLst>
            <a:ext uri="{FF2B5EF4-FFF2-40B4-BE49-F238E27FC236}">
              <a16:creationId xmlns:a16="http://schemas.microsoft.com/office/drawing/2014/main" id="{81DBB7D6-EB43-4536-AB15-04A62681E272}"/>
            </a:ext>
          </a:extLst>
        </xdr:cNvPr>
        <xdr:cNvGrpSpPr/>
      </xdr:nvGrpSpPr>
      <xdr:grpSpPr>
        <a:xfrm>
          <a:off x="116417" y="22500165"/>
          <a:ext cx="4006096" cy="870955"/>
          <a:chOff x="243568" y="5018651"/>
          <a:chExt cx="4440013" cy="1135538"/>
        </a:xfrm>
      </xdr:grpSpPr>
      <xdr:grpSp>
        <xdr:nvGrpSpPr>
          <xdr:cNvPr id="126" name="Grupo 125">
            <a:extLst>
              <a:ext uri="{FF2B5EF4-FFF2-40B4-BE49-F238E27FC236}">
                <a16:creationId xmlns:a16="http://schemas.microsoft.com/office/drawing/2014/main" id="{973C226B-3174-1E38-94E5-5159B24111D1}"/>
              </a:ext>
            </a:extLst>
          </xdr:cNvPr>
          <xdr:cNvGrpSpPr/>
        </xdr:nvGrpSpPr>
        <xdr:grpSpPr>
          <a:xfrm>
            <a:off x="243568" y="5018651"/>
            <a:ext cx="4440013" cy="497416"/>
            <a:chOff x="276225" y="2009775"/>
            <a:chExt cx="4429127" cy="493604"/>
          </a:xfrm>
        </xdr:grpSpPr>
        <xdr:sp macro="" textlink="">
          <xdr:nvSpPr>
            <xdr:cNvPr id="129" name="Rectángulo: esquinas redondeadas 128">
              <a:extLst>
                <a:ext uri="{FF2B5EF4-FFF2-40B4-BE49-F238E27FC236}">
                  <a16:creationId xmlns:a16="http://schemas.microsoft.com/office/drawing/2014/main" id="{DC329ACA-606B-0A81-E336-4ECF5AE842B5}"/>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0" name="Rectángulo: esquinas redondeadas 129">
              <a:extLst>
                <a:ext uri="{FF2B5EF4-FFF2-40B4-BE49-F238E27FC236}">
                  <a16:creationId xmlns:a16="http://schemas.microsoft.com/office/drawing/2014/main" id="{A87CDA09-06A5-088E-AC92-F64993B0FE14}"/>
                </a:ext>
              </a:extLst>
            </xdr:cNvPr>
            <xdr:cNvSpPr/>
          </xdr:nvSpPr>
          <xdr:spPr>
            <a:xfrm>
              <a:off x="728963" y="2009775"/>
              <a:ext cx="1104901" cy="493604"/>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bg1"/>
                  </a:solidFill>
                  <a:latin typeface="Montserrat" panose="00000500000000000000" pitchFamily="2" charset="0"/>
                  <a:ea typeface="+mn-ea"/>
                  <a:cs typeface="+mn-cs"/>
                </a:rPr>
                <a:t>CONTAR.</a:t>
              </a:r>
            </a:p>
            <a:p>
              <a:pPr marL="0" indent="0" algn="ctr"/>
              <a:r>
                <a:rPr lang="en-US" sz="900">
                  <a:solidFill>
                    <a:schemeClr val="bg1"/>
                  </a:solidFill>
                  <a:latin typeface="Montserrat" panose="00000500000000000000" pitchFamily="2" charset="0"/>
                  <a:ea typeface="+mn-ea"/>
                  <a:cs typeface="+mn-cs"/>
                </a:rPr>
                <a:t>BLANCO</a:t>
              </a:r>
            </a:p>
          </xdr:txBody>
        </xdr:sp>
        <xdr:sp macro="" textlink="">
          <xdr:nvSpPr>
            <xdr:cNvPr id="131" name="Rectángulo: esquinas redondeadas 130">
              <a:extLst>
                <a:ext uri="{FF2B5EF4-FFF2-40B4-BE49-F238E27FC236}">
                  <a16:creationId xmlns:a16="http://schemas.microsoft.com/office/drawing/2014/main" id="{6BCC37E5-475A-5B30-B3ED-38A75CE06276}"/>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2" name="Rectángulo: esquinas redondeadas 131">
              <a:extLst>
                <a:ext uri="{FF2B5EF4-FFF2-40B4-BE49-F238E27FC236}">
                  <a16:creationId xmlns:a16="http://schemas.microsoft.com/office/drawing/2014/main" id="{37881A90-6A11-7A0D-1167-6D48DC6CB0D0}"/>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133" name="Rectángulo: esquinas redondeadas 132">
              <a:extLst>
                <a:ext uri="{FF2B5EF4-FFF2-40B4-BE49-F238E27FC236}">
                  <a16:creationId xmlns:a16="http://schemas.microsoft.com/office/drawing/2014/main" id="{A4DE0EC0-4425-2509-AB12-49030406F678}"/>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27" name="Rectángulo: esquinas redondeadas 126">
            <a:extLst>
              <a:ext uri="{FF2B5EF4-FFF2-40B4-BE49-F238E27FC236}">
                <a16:creationId xmlns:a16="http://schemas.microsoft.com/office/drawing/2014/main" id="{96FEEB6C-5A26-B92E-FA14-DED90E615B14}"/>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que quieres evaluar para contar cuántas están vacías.</a:t>
            </a:r>
          </a:p>
        </xdr:txBody>
      </xdr:sp>
      <xdr:pic>
        <xdr:nvPicPr>
          <xdr:cNvPr id="128" name="Gráfico 127" descr="Information con relleno sólido">
            <a:extLst>
              <a:ext uri="{FF2B5EF4-FFF2-40B4-BE49-F238E27FC236}">
                <a16:creationId xmlns:a16="http://schemas.microsoft.com/office/drawing/2014/main" id="{65A34225-1758-D8F7-E797-211988C8409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49955" y="5570764"/>
            <a:ext cx="161925" cy="161925"/>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2093559</xdr:colOff>
      <xdr:row>4</xdr:row>
      <xdr:rowOff>177800</xdr:rowOff>
    </xdr:to>
    <xdr:sp macro="" textlink="">
      <xdr:nvSpPr>
        <xdr:cNvPr id="2" name="Rectángulo: esquinas redondeadas 1">
          <a:extLst>
            <a:ext uri="{FF2B5EF4-FFF2-40B4-BE49-F238E27FC236}">
              <a16:creationId xmlns:a16="http://schemas.microsoft.com/office/drawing/2014/main" id="{920F576C-68EF-4459-B264-0F74DD621F1A}"/>
            </a:ext>
          </a:extLst>
        </xdr:cNvPr>
        <xdr:cNvSpPr/>
      </xdr:nvSpPr>
      <xdr:spPr>
        <a:xfrm>
          <a:off x="123824" y="819150"/>
          <a:ext cx="13575419"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8</xdr:col>
      <xdr:colOff>2133599</xdr:colOff>
      <xdr:row>8</xdr:row>
      <xdr:rowOff>21166</xdr:rowOff>
    </xdr:to>
    <xdr:sp macro="" textlink="">
      <xdr:nvSpPr>
        <xdr:cNvPr id="3" name="Rectángulo: esquinas redondeadas 2">
          <a:extLst>
            <a:ext uri="{FF2B5EF4-FFF2-40B4-BE49-F238E27FC236}">
              <a16:creationId xmlns:a16="http://schemas.microsoft.com/office/drawing/2014/main" id="{D8163F77-965E-4BF1-AE1A-EA45FD4B017F}"/>
            </a:ext>
          </a:extLst>
        </xdr:cNvPr>
        <xdr:cNvSpPr/>
      </xdr:nvSpPr>
      <xdr:spPr>
        <a:xfrm>
          <a:off x="158748" y="1229028"/>
          <a:ext cx="13584768" cy="65480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CONTAR.SI (COUNTIF en inglés) </a:t>
          </a:r>
          <a:r>
            <a:rPr lang="en-US" sz="1000" b="0">
              <a:solidFill>
                <a:schemeClr val="tx1"/>
              </a:solidFill>
              <a:latin typeface="Montserrat" panose="00000500000000000000" pitchFamily="2" charset="0"/>
              <a:ea typeface="+mn-ea"/>
              <a:cs typeface="+mn-cs"/>
            </a:rPr>
            <a:t>es una función en Excel que cuenta el número de celdas dentro de un rango que cumplen con un criterio especificado. Puede ser utilizada para contar celdas que contienen un determinado tipo de datos, como textos específicos, números que cumplen ciertas condiciones, fechas, entre otros. Es muy útil para análisis de datos donde necesitas saber la cantidad de elementos que cumplen con un criterio particular.</a:t>
          </a:r>
        </a:p>
      </xdr:txBody>
    </xdr:sp>
    <xdr:clientData/>
  </xdr:twoCellAnchor>
  <xdr:twoCellAnchor editAs="oneCell">
    <xdr:from>
      <xdr:col>0</xdr:col>
      <xdr:colOff>123824</xdr:colOff>
      <xdr:row>8</xdr:row>
      <xdr:rowOff>152400</xdr:rowOff>
    </xdr:from>
    <xdr:to>
      <xdr:col>8</xdr:col>
      <xdr:colOff>2093559</xdr:colOff>
      <xdr:row>9</xdr:row>
      <xdr:rowOff>177800</xdr:rowOff>
    </xdr:to>
    <xdr:sp macro="" textlink="">
      <xdr:nvSpPr>
        <xdr:cNvPr id="4" name="Rectángulo: esquinas redondeadas 3">
          <a:extLst>
            <a:ext uri="{FF2B5EF4-FFF2-40B4-BE49-F238E27FC236}">
              <a16:creationId xmlns:a16="http://schemas.microsoft.com/office/drawing/2014/main" id="{EFC913D2-0D58-4266-9381-CAAA1809AB3A}"/>
            </a:ext>
          </a:extLst>
        </xdr:cNvPr>
        <xdr:cNvSpPr/>
      </xdr:nvSpPr>
      <xdr:spPr>
        <a:xfrm>
          <a:off x="123824" y="2015067"/>
          <a:ext cx="13576477"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2093559</xdr:colOff>
      <xdr:row>18</xdr:row>
      <xdr:rowOff>73025</xdr:rowOff>
    </xdr:to>
    <xdr:sp macro="" textlink="">
      <xdr:nvSpPr>
        <xdr:cNvPr id="5" name="Rectángulo: esquinas redondeadas 4">
          <a:extLst>
            <a:ext uri="{FF2B5EF4-FFF2-40B4-BE49-F238E27FC236}">
              <a16:creationId xmlns:a16="http://schemas.microsoft.com/office/drawing/2014/main" id="{247211AF-67E7-4AA8-8D6A-85C55365369D}"/>
            </a:ext>
          </a:extLst>
        </xdr:cNvPr>
        <xdr:cNvSpPr/>
      </xdr:nvSpPr>
      <xdr:spPr>
        <a:xfrm>
          <a:off x="123824" y="3905250"/>
          <a:ext cx="13575419"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35</xdr:row>
      <xdr:rowOff>0</xdr:rowOff>
    </xdr:from>
    <xdr:to>
      <xdr:col>8</xdr:col>
      <xdr:colOff>2116666</xdr:colOff>
      <xdr:row>36</xdr:row>
      <xdr:rowOff>53975</xdr:rowOff>
    </xdr:to>
    <xdr:sp macro="" textlink="">
      <xdr:nvSpPr>
        <xdr:cNvPr id="6" name="Rectángulo: esquinas redondeadas 5">
          <a:extLst>
            <a:ext uri="{FF2B5EF4-FFF2-40B4-BE49-F238E27FC236}">
              <a16:creationId xmlns:a16="http://schemas.microsoft.com/office/drawing/2014/main" id="{E94A1F8F-DF00-4FFD-847B-05712AA843B6}"/>
            </a:ext>
          </a:extLst>
        </xdr:cNvPr>
        <xdr:cNvSpPr/>
      </xdr:nvSpPr>
      <xdr:spPr>
        <a:xfrm>
          <a:off x="123825" y="8001000"/>
          <a:ext cx="13601700"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39</xdr:row>
      <xdr:rowOff>190500</xdr:rowOff>
    </xdr:from>
    <xdr:to>
      <xdr:col>8</xdr:col>
      <xdr:colOff>2148415</xdr:colOff>
      <xdr:row>42</xdr:row>
      <xdr:rowOff>73024</xdr:rowOff>
    </xdr:to>
    <xdr:sp macro="" textlink="">
      <xdr:nvSpPr>
        <xdr:cNvPr id="7" name="Rectángulo: esquinas redondeadas 6">
          <a:extLst>
            <a:ext uri="{FF2B5EF4-FFF2-40B4-BE49-F238E27FC236}">
              <a16:creationId xmlns:a16="http://schemas.microsoft.com/office/drawing/2014/main" id="{19A16602-80E5-4A32-99C6-FC50E13D599A}"/>
            </a:ext>
          </a:extLst>
        </xdr:cNvPr>
        <xdr:cNvSpPr/>
      </xdr:nvSpPr>
      <xdr:spPr>
        <a:xfrm>
          <a:off x="95249" y="9105900"/>
          <a:ext cx="13662025" cy="56514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¿Cuántas veces aparece "us" en la tabla?</a:t>
          </a:r>
        </a:p>
      </xdr:txBody>
    </xdr:sp>
    <xdr:clientData/>
  </xdr:twoCellAnchor>
  <xdr:twoCellAnchor editAs="oneCell">
    <xdr:from>
      <xdr:col>1</xdr:col>
      <xdr:colOff>9524</xdr:colOff>
      <xdr:row>0</xdr:row>
      <xdr:rowOff>104775</xdr:rowOff>
    </xdr:from>
    <xdr:to>
      <xdr:col>8</xdr:col>
      <xdr:colOff>2187575</xdr:colOff>
      <xdr:row>2</xdr:row>
      <xdr:rowOff>177800</xdr:rowOff>
    </xdr:to>
    <xdr:grpSp>
      <xdr:nvGrpSpPr>
        <xdr:cNvPr id="8" name="Grupo 7">
          <a:extLst>
            <a:ext uri="{FF2B5EF4-FFF2-40B4-BE49-F238E27FC236}">
              <a16:creationId xmlns:a16="http://schemas.microsoft.com/office/drawing/2014/main" id="{8F675955-8F65-46AC-AD31-48E9A5AA3B6B}"/>
            </a:ext>
          </a:extLst>
        </xdr:cNvPr>
        <xdr:cNvGrpSpPr/>
      </xdr:nvGrpSpPr>
      <xdr:grpSpPr>
        <a:xfrm>
          <a:off x="122092" y="104775"/>
          <a:ext cx="12395778" cy="436707"/>
          <a:chOff x="136524" y="104775"/>
          <a:chExt cx="13664143" cy="541867"/>
        </a:xfrm>
      </xdr:grpSpPr>
      <xdr:sp macro="" textlink="">
        <xdr:nvSpPr>
          <xdr:cNvPr id="9" name="Rectángulo: esquinas redondeadas 8">
            <a:extLst>
              <a:ext uri="{FF2B5EF4-FFF2-40B4-BE49-F238E27FC236}">
                <a16:creationId xmlns:a16="http://schemas.microsoft.com/office/drawing/2014/main" id="{D1ED2FCC-8DBA-9FC2-6AAB-5F2AA122270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98DF1487-09D6-0095-1408-A4E9D055EC02}"/>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CONTAR.SI</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123209A5-0305-6DA1-2B6D-4ACC38863F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65</xdr:row>
      <xdr:rowOff>28575</xdr:rowOff>
    </xdr:from>
    <xdr:to>
      <xdr:col>8</xdr:col>
      <xdr:colOff>2131660</xdr:colOff>
      <xdr:row>66</xdr:row>
      <xdr:rowOff>76198</xdr:rowOff>
    </xdr:to>
    <xdr:sp macro="" textlink="">
      <xdr:nvSpPr>
        <xdr:cNvPr id="12" name="Rectángulo: esquinas redondeadas 11">
          <a:extLst>
            <a:ext uri="{FF2B5EF4-FFF2-40B4-BE49-F238E27FC236}">
              <a16:creationId xmlns:a16="http://schemas.microsoft.com/office/drawing/2014/main" id="{63B5D2DA-A80F-44B5-991F-7AEB10A8EDC4}"/>
            </a:ext>
          </a:extLst>
        </xdr:cNvPr>
        <xdr:cNvSpPr/>
      </xdr:nvSpPr>
      <xdr:spPr>
        <a:xfrm>
          <a:off x="152400" y="15573375"/>
          <a:ext cx="13584944"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66</xdr:row>
      <xdr:rowOff>161925</xdr:rowOff>
    </xdr:from>
    <xdr:to>
      <xdr:col>8</xdr:col>
      <xdr:colOff>2168525</xdr:colOff>
      <xdr:row>69</xdr:row>
      <xdr:rowOff>151342</xdr:rowOff>
    </xdr:to>
    <xdr:sp macro="" textlink="">
      <xdr:nvSpPr>
        <xdr:cNvPr id="13" name="Rectángulo: esquinas redondeadas 12">
          <a:extLst>
            <a:ext uri="{FF2B5EF4-FFF2-40B4-BE49-F238E27FC236}">
              <a16:creationId xmlns:a16="http://schemas.microsoft.com/office/drawing/2014/main" id="{D3FE46C5-DD6A-4B56-B452-9136F16563B4}"/>
            </a:ext>
          </a:extLst>
        </xdr:cNvPr>
        <xdr:cNvSpPr/>
      </xdr:nvSpPr>
      <xdr:spPr>
        <a:xfrm>
          <a:off x="184149" y="15935325"/>
          <a:ext cx="13590060" cy="6752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CONTAR.SI.CONJUNTO (COUNTIFS en inglés) </a:t>
          </a:r>
          <a:r>
            <a:rPr lang="en-US" sz="1000" b="0">
              <a:solidFill>
                <a:schemeClr val="tx1"/>
              </a:solidFill>
              <a:latin typeface="Montserrat" panose="00000500000000000000" pitchFamily="2" charset="0"/>
              <a:ea typeface="+mn-ea"/>
              <a:cs typeface="+mn-cs"/>
            </a:rPr>
            <a:t>es una función en Excel que cuenta el número de celdas que cumplen múltiples criterios en uno o más rangos. Esta función extiende la funcionalidad de CONTAR.SI, permitiendo aplicar varias condiciones al mismo tiempo. Es útil para análisis de datos complejos donde es necesario contar elementos basados en más de un criterio.</a:t>
          </a:r>
        </a:p>
      </xdr:txBody>
    </xdr:sp>
    <xdr:clientData/>
  </xdr:twoCellAnchor>
  <xdr:twoCellAnchor editAs="oneCell">
    <xdr:from>
      <xdr:col>1</xdr:col>
      <xdr:colOff>14817</xdr:colOff>
      <xdr:row>70</xdr:row>
      <xdr:rowOff>65616</xdr:rowOff>
    </xdr:from>
    <xdr:to>
      <xdr:col>8</xdr:col>
      <xdr:colOff>2117902</xdr:colOff>
      <xdr:row>71</xdr:row>
      <xdr:rowOff>111126</xdr:rowOff>
    </xdr:to>
    <xdr:sp macro="" textlink="">
      <xdr:nvSpPr>
        <xdr:cNvPr id="14" name="Rectángulo: esquinas redondeadas 13">
          <a:extLst>
            <a:ext uri="{FF2B5EF4-FFF2-40B4-BE49-F238E27FC236}">
              <a16:creationId xmlns:a16="http://schemas.microsoft.com/office/drawing/2014/main" id="{14FCC76B-FA25-4CCF-BE6E-02C317C54157}"/>
            </a:ext>
          </a:extLst>
        </xdr:cNvPr>
        <xdr:cNvSpPr/>
      </xdr:nvSpPr>
      <xdr:spPr>
        <a:xfrm>
          <a:off x="138642" y="16753416"/>
          <a:ext cx="13588119" cy="26458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78</xdr:row>
      <xdr:rowOff>147108</xdr:rowOff>
    </xdr:from>
    <xdr:to>
      <xdr:col>8</xdr:col>
      <xdr:colOff>2131660</xdr:colOff>
      <xdr:row>80</xdr:row>
      <xdr:rowOff>2116</xdr:rowOff>
    </xdr:to>
    <xdr:sp macro="" textlink="">
      <xdr:nvSpPr>
        <xdr:cNvPr id="15" name="Rectángulo: esquinas redondeadas 14">
          <a:extLst>
            <a:ext uri="{FF2B5EF4-FFF2-40B4-BE49-F238E27FC236}">
              <a16:creationId xmlns:a16="http://schemas.microsoft.com/office/drawing/2014/main" id="{43482E8F-39D5-41E2-B5D8-132BBABC64DF}"/>
            </a:ext>
          </a:extLst>
        </xdr:cNvPr>
        <xdr:cNvSpPr/>
      </xdr:nvSpPr>
      <xdr:spPr>
        <a:xfrm>
          <a:off x="152400" y="18663708"/>
          <a:ext cx="135849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31751</xdr:colOff>
      <xdr:row>97</xdr:row>
      <xdr:rowOff>128058</xdr:rowOff>
    </xdr:from>
    <xdr:to>
      <xdr:col>8</xdr:col>
      <xdr:colOff>2151592</xdr:colOff>
      <xdr:row>98</xdr:row>
      <xdr:rowOff>172505</xdr:rowOff>
    </xdr:to>
    <xdr:sp macro="" textlink="">
      <xdr:nvSpPr>
        <xdr:cNvPr id="16" name="Rectángulo: esquinas redondeadas 15">
          <a:extLst>
            <a:ext uri="{FF2B5EF4-FFF2-40B4-BE49-F238E27FC236}">
              <a16:creationId xmlns:a16="http://schemas.microsoft.com/office/drawing/2014/main" id="{C5FA79AC-E5B4-4801-8B82-0A6167285E02}"/>
            </a:ext>
          </a:extLst>
        </xdr:cNvPr>
        <xdr:cNvSpPr/>
      </xdr:nvSpPr>
      <xdr:spPr>
        <a:xfrm>
          <a:off x="155576" y="21845058"/>
          <a:ext cx="13604875" cy="27304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102</xdr:row>
      <xdr:rowOff>85724</xdr:rowOff>
    </xdr:from>
    <xdr:to>
      <xdr:col>8</xdr:col>
      <xdr:colOff>2189691</xdr:colOff>
      <xdr:row>105</xdr:row>
      <xdr:rowOff>2115</xdr:rowOff>
    </xdr:to>
    <xdr:sp macro="" textlink="">
      <xdr:nvSpPr>
        <xdr:cNvPr id="17" name="Rectángulo: esquinas redondeadas 16">
          <a:extLst>
            <a:ext uri="{FF2B5EF4-FFF2-40B4-BE49-F238E27FC236}">
              <a16:creationId xmlns:a16="http://schemas.microsoft.com/office/drawing/2014/main" id="{989B747E-2F78-4EE8-9FFD-35BA5A9B0E83}"/>
            </a:ext>
          </a:extLst>
        </xdr:cNvPr>
        <xdr:cNvSpPr/>
      </xdr:nvSpPr>
      <xdr:spPr>
        <a:xfrm>
          <a:off x="123825" y="22945724"/>
          <a:ext cx="13674725" cy="56303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Identifica</a:t>
          </a:r>
          <a:r>
            <a:rPr lang="en-US" sz="1000" b="0" baseline="0">
              <a:solidFill>
                <a:schemeClr val="tx1"/>
              </a:solidFill>
              <a:latin typeface="Montserrat" panose="00000500000000000000" pitchFamily="2" charset="0"/>
              <a:ea typeface="+mn-ea"/>
              <a:cs typeface="+mn-cs"/>
            </a:rPr>
            <a:t> cuántas veces aparecen modelos "Altima" de "Ford" </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44450</xdr:colOff>
      <xdr:row>62</xdr:row>
      <xdr:rowOff>0</xdr:rowOff>
    </xdr:from>
    <xdr:to>
      <xdr:col>8</xdr:col>
      <xdr:colOff>2232026</xdr:colOff>
      <xdr:row>64</xdr:row>
      <xdr:rowOff>73024</xdr:rowOff>
    </xdr:to>
    <xdr:grpSp>
      <xdr:nvGrpSpPr>
        <xdr:cNvPr id="18" name="Grupo 17">
          <a:extLst>
            <a:ext uri="{FF2B5EF4-FFF2-40B4-BE49-F238E27FC236}">
              <a16:creationId xmlns:a16="http://schemas.microsoft.com/office/drawing/2014/main" id="{073D7EDA-2B17-4C6B-BB06-6CA7F4ADBD2B}"/>
            </a:ext>
          </a:extLst>
        </xdr:cNvPr>
        <xdr:cNvGrpSpPr/>
      </xdr:nvGrpSpPr>
      <xdr:grpSpPr>
        <a:xfrm>
          <a:off x="157018" y="11308773"/>
          <a:ext cx="12405303" cy="436706"/>
          <a:chOff x="136524" y="104775"/>
          <a:chExt cx="13664143" cy="541867"/>
        </a:xfrm>
      </xdr:grpSpPr>
      <xdr:sp macro="" textlink="">
        <xdr:nvSpPr>
          <xdr:cNvPr id="19" name="Rectángulo: esquinas redondeadas 18">
            <a:extLst>
              <a:ext uri="{FF2B5EF4-FFF2-40B4-BE49-F238E27FC236}">
                <a16:creationId xmlns:a16="http://schemas.microsoft.com/office/drawing/2014/main" id="{54BE30C5-6178-F456-2B10-1E301958B59F}"/>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B1DE7F61-4C4B-5703-5BA5-89B0C3CF8745}"/>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CONTAR.SI.CONJUNTO</a:t>
            </a:r>
          </a:p>
        </xdr:txBody>
      </xdr:sp>
      <xdr:pic>
        <xdr:nvPicPr>
          <xdr:cNvPr id="21" name="Gráfico 20" descr="Search Inventory con relleno sólido">
            <a:extLst>
              <a:ext uri="{FF2B5EF4-FFF2-40B4-BE49-F238E27FC236}">
                <a16:creationId xmlns:a16="http://schemas.microsoft.com/office/drawing/2014/main" id="{B7C3FCCE-A3F4-C3F3-4033-180F424263D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48D09543-11FD-9BE5-7AC4-13328E4EE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0</xdr:colOff>
      <xdr:row>173</xdr:row>
      <xdr:rowOff>0</xdr:rowOff>
    </xdr:from>
    <xdr:to>
      <xdr:col>8</xdr:col>
      <xdr:colOff>2187576</xdr:colOff>
      <xdr:row>175</xdr:row>
      <xdr:rowOff>73026</xdr:rowOff>
    </xdr:to>
    <xdr:grpSp>
      <xdr:nvGrpSpPr>
        <xdr:cNvPr id="36" name="Grupo 35">
          <a:extLst>
            <a:ext uri="{FF2B5EF4-FFF2-40B4-BE49-F238E27FC236}">
              <a16:creationId xmlns:a16="http://schemas.microsoft.com/office/drawing/2014/main" id="{6CC50DCD-69CE-40C7-B6A0-278B39B88B1F}"/>
            </a:ext>
          </a:extLst>
        </xdr:cNvPr>
        <xdr:cNvGrpSpPr/>
      </xdr:nvGrpSpPr>
      <xdr:grpSpPr>
        <a:xfrm>
          <a:off x="112568" y="31545068"/>
          <a:ext cx="12405303" cy="436708"/>
          <a:chOff x="136524" y="104775"/>
          <a:chExt cx="13664143" cy="541867"/>
        </a:xfrm>
      </xdr:grpSpPr>
      <xdr:sp macro="" textlink="">
        <xdr:nvSpPr>
          <xdr:cNvPr id="37" name="Rectángulo: esquinas redondeadas 36">
            <a:extLst>
              <a:ext uri="{FF2B5EF4-FFF2-40B4-BE49-F238E27FC236}">
                <a16:creationId xmlns:a16="http://schemas.microsoft.com/office/drawing/2014/main" id="{05BD882F-16AD-C43D-54FD-528C7E4084BA}"/>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8" name="CuadroTexto 37">
            <a:extLst>
              <a:ext uri="{FF2B5EF4-FFF2-40B4-BE49-F238E27FC236}">
                <a16:creationId xmlns:a16="http://schemas.microsoft.com/office/drawing/2014/main" id="{AC6C6F44-68FB-AA6D-BC4E-97C8BD0D05B2}"/>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SI/Y/O</a:t>
            </a:r>
          </a:p>
        </xdr:txBody>
      </xdr:sp>
      <xdr:pic>
        <xdr:nvPicPr>
          <xdr:cNvPr id="39" name="Gráfico 38" descr="Search Inventory con relleno sólido">
            <a:extLst>
              <a:ext uri="{FF2B5EF4-FFF2-40B4-BE49-F238E27FC236}">
                <a16:creationId xmlns:a16="http://schemas.microsoft.com/office/drawing/2014/main" id="{165B1FE6-3C96-4938-1F19-A95A86A0FA2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40" name="Gráfico 39" descr="Circle with left arrow con relleno sólido">
            <a:hlinkClick xmlns:r="http://schemas.openxmlformats.org/officeDocument/2006/relationships" r:id="rId1"/>
            <a:extLst>
              <a:ext uri="{FF2B5EF4-FFF2-40B4-BE49-F238E27FC236}">
                <a16:creationId xmlns:a16="http://schemas.microsoft.com/office/drawing/2014/main" id="{6A183FE4-A118-5194-8D7C-D0547CFDC9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176</xdr:row>
      <xdr:rowOff>0</xdr:rowOff>
    </xdr:from>
    <xdr:to>
      <xdr:col>8</xdr:col>
      <xdr:colOff>2129543</xdr:colOff>
      <xdr:row>177</xdr:row>
      <xdr:rowOff>73026</xdr:rowOff>
    </xdr:to>
    <xdr:sp macro="" textlink="">
      <xdr:nvSpPr>
        <xdr:cNvPr id="41" name="Rectángulo: esquinas redondeadas 40">
          <a:extLst>
            <a:ext uri="{FF2B5EF4-FFF2-40B4-BE49-F238E27FC236}">
              <a16:creationId xmlns:a16="http://schemas.microsoft.com/office/drawing/2014/main" id="{F5C53652-EF6D-4CFD-A17C-86924D23F49F}"/>
            </a:ext>
          </a:extLst>
        </xdr:cNvPr>
        <xdr:cNvSpPr/>
      </xdr:nvSpPr>
      <xdr:spPr>
        <a:xfrm>
          <a:off x="143933" y="39776400"/>
          <a:ext cx="13591294" cy="2952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16934</xdr:colOff>
      <xdr:row>190</xdr:row>
      <xdr:rowOff>114299</xdr:rowOff>
    </xdr:from>
    <xdr:to>
      <xdr:col>8</xdr:col>
      <xdr:colOff>2149475</xdr:colOff>
      <xdr:row>191</xdr:row>
      <xdr:rowOff>174621</xdr:rowOff>
    </xdr:to>
    <xdr:sp macro="" textlink="">
      <xdr:nvSpPr>
        <xdr:cNvPr id="42" name="Rectángulo: esquinas redondeadas 41">
          <a:extLst>
            <a:ext uri="{FF2B5EF4-FFF2-40B4-BE49-F238E27FC236}">
              <a16:creationId xmlns:a16="http://schemas.microsoft.com/office/drawing/2014/main" id="{ECD32F04-57D5-4807-9F47-154BD7B09479}"/>
            </a:ext>
          </a:extLst>
        </xdr:cNvPr>
        <xdr:cNvSpPr/>
      </xdr:nvSpPr>
      <xdr:spPr>
        <a:xfrm>
          <a:off x="140759" y="43091099"/>
          <a:ext cx="13611225" cy="2889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195</xdr:row>
      <xdr:rowOff>62441</xdr:rowOff>
    </xdr:from>
    <xdr:to>
      <xdr:col>8</xdr:col>
      <xdr:colOff>2189691</xdr:colOff>
      <xdr:row>197</xdr:row>
      <xdr:rowOff>168272</xdr:rowOff>
    </xdr:to>
    <xdr:sp macro="" textlink="">
      <xdr:nvSpPr>
        <xdr:cNvPr id="43" name="Rectángulo: esquinas redondeadas 42">
          <a:extLst>
            <a:ext uri="{FF2B5EF4-FFF2-40B4-BE49-F238E27FC236}">
              <a16:creationId xmlns:a16="http://schemas.microsoft.com/office/drawing/2014/main" id="{6B1C108E-AAC7-47A1-AD4F-5A8DE10C4210}"/>
            </a:ext>
          </a:extLst>
        </xdr:cNvPr>
        <xdr:cNvSpPr/>
      </xdr:nvSpPr>
      <xdr:spPr>
        <a:xfrm>
          <a:off x="123825" y="44182241"/>
          <a:ext cx="13674725" cy="55985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vechículos en la celda I56 de acuerdo con el año y trimestre seleccionado</a:t>
          </a:r>
        </a:p>
      </xdr:txBody>
    </xdr:sp>
    <xdr:clientData/>
  </xdr:twoCellAnchor>
  <xdr:twoCellAnchor editAs="oneCell">
    <xdr:from>
      <xdr:col>1</xdr:col>
      <xdr:colOff>168274</xdr:colOff>
      <xdr:row>0</xdr:row>
      <xdr:rowOff>137584</xdr:rowOff>
    </xdr:from>
    <xdr:to>
      <xdr:col>1</xdr:col>
      <xdr:colOff>645583</xdr:colOff>
      <xdr:row>2</xdr:row>
      <xdr:rowOff>176764</xdr:rowOff>
    </xdr:to>
    <xdr:pic>
      <xdr:nvPicPr>
        <xdr:cNvPr id="44" name="Gráfico 43" descr="Left Brain con relleno sólido">
          <a:extLst>
            <a:ext uri="{FF2B5EF4-FFF2-40B4-BE49-F238E27FC236}">
              <a16:creationId xmlns:a16="http://schemas.microsoft.com/office/drawing/2014/main" id="{1A01EABC-2D92-4476-A973-175D6C348CC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2099" y="137584"/>
          <a:ext cx="467784" cy="521780"/>
        </a:xfrm>
        <a:prstGeom prst="rect">
          <a:avLst/>
        </a:prstGeom>
      </xdr:spPr>
    </xdr:pic>
    <xdr:clientData/>
  </xdr:twoCellAnchor>
  <xdr:twoCellAnchor editAs="oneCell">
    <xdr:from>
      <xdr:col>1</xdr:col>
      <xdr:colOff>10583</xdr:colOff>
      <xdr:row>10</xdr:row>
      <xdr:rowOff>148165</xdr:rowOff>
    </xdr:from>
    <xdr:to>
      <xdr:col>4</xdr:col>
      <xdr:colOff>378885</xdr:colOff>
      <xdr:row>16</xdr:row>
      <xdr:rowOff>3382</xdr:rowOff>
    </xdr:to>
    <xdr:grpSp>
      <xdr:nvGrpSpPr>
        <xdr:cNvPr id="45" name="Grupo 44">
          <a:extLst>
            <a:ext uri="{FF2B5EF4-FFF2-40B4-BE49-F238E27FC236}">
              <a16:creationId xmlns:a16="http://schemas.microsoft.com/office/drawing/2014/main" id="{10CD8C07-30A0-4A8D-88C0-6A45876EF310}"/>
            </a:ext>
          </a:extLst>
        </xdr:cNvPr>
        <xdr:cNvGrpSpPr/>
      </xdr:nvGrpSpPr>
      <xdr:grpSpPr>
        <a:xfrm>
          <a:off x="123151" y="1966574"/>
          <a:ext cx="5702302" cy="946263"/>
          <a:chOff x="229961" y="3365726"/>
          <a:chExt cx="6800852" cy="1099817"/>
        </a:xfrm>
      </xdr:grpSpPr>
      <xdr:grpSp>
        <xdr:nvGrpSpPr>
          <xdr:cNvPr id="46" name="Grupo 45">
            <a:extLst>
              <a:ext uri="{FF2B5EF4-FFF2-40B4-BE49-F238E27FC236}">
                <a16:creationId xmlns:a16="http://schemas.microsoft.com/office/drawing/2014/main" id="{E404DB79-DE1F-32D0-EB39-2C1CB1CE6EF1}"/>
              </a:ext>
            </a:extLst>
          </xdr:cNvPr>
          <xdr:cNvGrpSpPr/>
        </xdr:nvGrpSpPr>
        <xdr:grpSpPr>
          <a:xfrm>
            <a:off x="229961" y="3365726"/>
            <a:ext cx="6800852" cy="355148"/>
            <a:chOff x="304800" y="1466850"/>
            <a:chExt cx="6781802" cy="352426"/>
          </a:xfrm>
        </xdr:grpSpPr>
        <xdr:sp macro="" textlink="">
          <xdr:nvSpPr>
            <xdr:cNvPr id="51" name="Rectángulo: esquinas redondeadas 50">
              <a:extLst>
                <a:ext uri="{FF2B5EF4-FFF2-40B4-BE49-F238E27FC236}">
                  <a16:creationId xmlns:a16="http://schemas.microsoft.com/office/drawing/2014/main" id="{202B616A-B330-1416-547D-DB9AAA1B0730}"/>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2" name="Rectángulo: esquinas redondeadas 51">
              <a:extLst>
                <a:ext uri="{FF2B5EF4-FFF2-40B4-BE49-F238E27FC236}">
                  <a16:creationId xmlns:a16="http://schemas.microsoft.com/office/drawing/2014/main" id="{F1961B78-A187-09DD-F01F-8A56CB8CACDA}"/>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CONTAR.SI</a:t>
              </a:r>
            </a:p>
          </xdr:txBody>
        </xdr:sp>
        <xdr:sp macro="" textlink="">
          <xdr:nvSpPr>
            <xdr:cNvPr id="53" name="Rectángulo: esquinas redondeadas 52">
              <a:extLst>
                <a:ext uri="{FF2B5EF4-FFF2-40B4-BE49-F238E27FC236}">
                  <a16:creationId xmlns:a16="http://schemas.microsoft.com/office/drawing/2014/main" id="{4690F70F-697E-586A-386D-0FD2F00E6149}"/>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4" name="Rectángulo: esquinas redondeadas 53">
              <a:extLst>
                <a:ext uri="{FF2B5EF4-FFF2-40B4-BE49-F238E27FC236}">
                  <a16:creationId xmlns:a16="http://schemas.microsoft.com/office/drawing/2014/main" id="{21BB6773-F8C3-D6B3-51CF-7B5BC1DA4053}"/>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55" name="Rectángulo: esquinas redondeadas 54">
              <a:extLst>
                <a:ext uri="{FF2B5EF4-FFF2-40B4-BE49-F238E27FC236}">
                  <a16:creationId xmlns:a16="http://schemas.microsoft.com/office/drawing/2014/main" id="{C055FE07-C6D2-3DA1-08A5-FCE800467866}"/>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a:t>
              </a:r>
            </a:p>
          </xdr:txBody>
        </xdr:sp>
        <xdr:sp macro="" textlink="">
          <xdr:nvSpPr>
            <xdr:cNvPr id="56" name="Rectángulo: esquinas redondeadas 55">
              <a:extLst>
                <a:ext uri="{FF2B5EF4-FFF2-40B4-BE49-F238E27FC236}">
                  <a16:creationId xmlns:a16="http://schemas.microsoft.com/office/drawing/2014/main" id="{4F813E3D-41CB-54D2-743E-0E156C5C8875}"/>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7" name="Rectángulo: esquinas redondeadas 56">
              <a:extLst>
                <a:ext uri="{FF2B5EF4-FFF2-40B4-BE49-F238E27FC236}">
                  <a16:creationId xmlns:a16="http://schemas.microsoft.com/office/drawing/2014/main" id="{987BC179-442E-DF52-AB62-790985DBEC73}"/>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47" name="Rectángulo: esquinas redondeadas 46">
            <a:extLst>
              <a:ext uri="{FF2B5EF4-FFF2-40B4-BE49-F238E27FC236}">
                <a16:creationId xmlns:a16="http://schemas.microsoft.com/office/drawing/2014/main" id="{06B9C461-5896-B825-54B6-749520D91CFC}"/>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sobre el cual se aplicará el criterio de conteo.</a:t>
            </a:r>
          </a:p>
        </xdr:txBody>
      </xdr:sp>
      <xdr:pic>
        <xdr:nvPicPr>
          <xdr:cNvPr id="48" name="Gráfico 47" descr="Information con relleno sólido">
            <a:extLst>
              <a:ext uri="{FF2B5EF4-FFF2-40B4-BE49-F238E27FC236}">
                <a16:creationId xmlns:a16="http://schemas.microsoft.com/office/drawing/2014/main" id="{3173D034-2EBB-D858-37E0-6C5ED0CAB1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26822" y="3882118"/>
            <a:ext cx="161925" cy="161925"/>
          </a:xfrm>
          <a:prstGeom prst="rect">
            <a:avLst/>
          </a:prstGeom>
        </xdr:spPr>
      </xdr:pic>
      <xdr:sp macro="" textlink="">
        <xdr:nvSpPr>
          <xdr:cNvPr id="49" name="Rectángulo: esquinas redondeadas 48">
            <a:extLst>
              <a:ext uri="{FF2B5EF4-FFF2-40B4-BE49-F238E27FC236}">
                <a16:creationId xmlns:a16="http://schemas.microsoft.com/office/drawing/2014/main" id="{EBB3A2C6-4B64-F1BF-5833-86FAC9599C80}"/>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que las celdas deben cumplir para ser contadas. Puede ser un número, texto, expresión o incluso una referencia de celda que contenga el criterio.</a:t>
            </a:r>
          </a:p>
        </xdr:txBody>
      </xdr:sp>
      <xdr:pic>
        <xdr:nvPicPr>
          <xdr:cNvPr id="50" name="Gráfico 49" descr="Information con relleno sólido">
            <a:extLst>
              <a:ext uri="{FF2B5EF4-FFF2-40B4-BE49-F238E27FC236}">
                <a16:creationId xmlns:a16="http://schemas.microsoft.com/office/drawing/2014/main" id="{C2488C4B-F489-407A-3406-673DA490A08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79497" y="3872593"/>
            <a:ext cx="161925" cy="161925"/>
          </a:xfrm>
          <a:prstGeom prst="rect">
            <a:avLst/>
          </a:prstGeom>
        </xdr:spPr>
      </xdr:pic>
    </xdr:grpSp>
    <xdr:clientData/>
  </xdr:twoCellAnchor>
  <xdr:twoCellAnchor editAs="oneCell">
    <xdr:from>
      <xdr:col>1</xdr:col>
      <xdr:colOff>0</xdr:colOff>
      <xdr:row>72</xdr:row>
      <xdr:rowOff>63501</xdr:rowOff>
    </xdr:from>
    <xdr:to>
      <xdr:col>6</xdr:col>
      <xdr:colOff>1084945</xdr:colOff>
      <xdr:row>77</xdr:row>
      <xdr:rowOff>134</xdr:rowOff>
    </xdr:to>
    <xdr:grpSp>
      <xdr:nvGrpSpPr>
        <xdr:cNvPr id="58" name="Grupo 57">
          <a:extLst>
            <a:ext uri="{FF2B5EF4-FFF2-40B4-BE49-F238E27FC236}">
              <a16:creationId xmlns:a16="http://schemas.microsoft.com/office/drawing/2014/main" id="{AA0A7474-6B21-477F-B883-3B24E11435D1}"/>
            </a:ext>
          </a:extLst>
        </xdr:cNvPr>
        <xdr:cNvGrpSpPr/>
      </xdr:nvGrpSpPr>
      <xdr:grpSpPr>
        <a:xfrm>
          <a:off x="112568" y="13190683"/>
          <a:ext cx="8176741" cy="845837"/>
          <a:chOff x="276225" y="352425"/>
          <a:chExt cx="9029702" cy="1078725"/>
        </a:xfrm>
      </xdr:grpSpPr>
      <xdr:grpSp>
        <xdr:nvGrpSpPr>
          <xdr:cNvPr id="59" name="Grupo 58">
            <a:extLst>
              <a:ext uri="{FF2B5EF4-FFF2-40B4-BE49-F238E27FC236}">
                <a16:creationId xmlns:a16="http://schemas.microsoft.com/office/drawing/2014/main" id="{4A9B61FD-5B1C-D05E-7E73-554E4F03E708}"/>
              </a:ext>
            </a:extLst>
          </xdr:cNvPr>
          <xdr:cNvGrpSpPr/>
        </xdr:nvGrpSpPr>
        <xdr:grpSpPr>
          <a:xfrm>
            <a:off x="276225" y="352425"/>
            <a:ext cx="9029702" cy="512121"/>
            <a:chOff x="142874" y="2266950"/>
            <a:chExt cx="9029702" cy="512121"/>
          </a:xfrm>
        </xdr:grpSpPr>
        <xdr:sp macro="" textlink="">
          <xdr:nvSpPr>
            <xdr:cNvPr id="67" name="Rectángulo: esquinas redondeadas 66">
              <a:extLst>
                <a:ext uri="{FF2B5EF4-FFF2-40B4-BE49-F238E27FC236}">
                  <a16:creationId xmlns:a16="http://schemas.microsoft.com/office/drawing/2014/main" id="{6413A51F-0757-A3F6-295B-9118BC14949B}"/>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68" name="Rectángulo: esquinas redondeadas 67">
              <a:extLst>
                <a:ext uri="{FF2B5EF4-FFF2-40B4-BE49-F238E27FC236}">
                  <a16:creationId xmlns:a16="http://schemas.microsoft.com/office/drawing/2014/main" id="{4A41977B-BB23-B91F-67DB-8C05277701B3}"/>
                </a:ext>
              </a:extLst>
            </xdr:cNvPr>
            <xdr:cNvSpPr/>
          </xdr:nvSpPr>
          <xdr:spPr>
            <a:xfrm>
              <a:off x="590548" y="2266950"/>
              <a:ext cx="1104901" cy="512121"/>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bg1"/>
                  </a:solidFill>
                  <a:latin typeface="Montserrat" panose="00000500000000000000" pitchFamily="2" charset="0"/>
                  <a:ea typeface="+mn-ea"/>
                  <a:cs typeface="+mn-cs"/>
                </a:rPr>
                <a:t>CONTAR.SI.</a:t>
              </a:r>
            </a:p>
            <a:p>
              <a:pPr marL="0" indent="0" algn="ctr"/>
              <a:r>
                <a:rPr lang="en-US" sz="900">
                  <a:solidFill>
                    <a:schemeClr val="bg1"/>
                  </a:solidFill>
                  <a:latin typeface="Montserrat" panose="00000500000000000000" pitchFamily="2" charset="0"/>
                  <a:ea typeface="+mn-ea"/>
                  <a:cs typeface="+mn-cs"/>
                </a:rPr>
                <a:t>CONJUNTO</a:t>
              </a:r>
            </a:p>
          </xdr:txBody>
        </xdr:sp>
        <xdr:sp macro="" textlink="">
          <xdr:nvSpPr>
            <xdr:cNvPr id="69" name="Rectángulo: esquinas redondeadas 68">
              <a:extLst>
                <a:ext uri="{FF2B5EF4-FFF2-40B4-BE49-F238E27FC236}">
                  <a16:creationId xmlns:a16="http://schemas.microsoft.com/office/drawing/2014/main" id="{B343CB07-02A6-EDE6-9522-5B35A26914B9}"/>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0" name="Rectángulo: esquinas redondeadas 69">
              <a:extLst>
                <a:ext uri="{FF2B5EF4-FFF2-40B4-BE49-F238E27FC236}">
                  <a16:creationId xmlns:a16="http://schemas.microsoft.com/office/drawing/2014/main" id="{8D5F69D6-A0DA-774C-797F-A87A120EAF05}"/>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r>
                <a:rPr lang="en-US" sz="1000" baseline="0">
                  <a:solidFill>
                    <a:schemeClr val="tx1"/>
                  </a:solidFill>
                  <a:latin typeface="Montserrat" panose="00000500000000000000" pitchFamily="2" charset="0"/>
                  <a:ea typeface="+mn-ea"/>
                  <a:cs typeface="+mn-cs"/>
                </a:rPr>
                <a:t> Criterio 1</a:t>
              </a:r>
              <a:endParaRPr lang="en-US" sz="1000">
                <a:solidFill>
                  <a:schemeClr val="tx1"/>
                </a:solidFill>
                <a:latin typeface="Montserrat" panose="00000500000000000000" pitchFamily="2" charset="0"/>
                <a:ea typeface="+mn-ea"/>
                <a:cs typeface="+mn-cs"/>
              </a:endParaRPr>
            </a:p>
          </xdr:txBody>
        </xdr:sp>
        <xdr:sp macro="" textlink="">
          <xdr:nvSpPr>
            <xdr:cNvPr id="71" name="Rectángulo: esquinas redondeadas 70">
              <a:extLst>
                <a:ext uri="{FF2B5EF4-FFF2-40B4-BE49-F238E27FC236}">
                  <a16:creationId xmlns:a16="http://schemas.microsoft.com/office/drawing/2014/main" id="{B63BF4AE-FDA2-BF6D-8B73-13E1F05E10FF}"/>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 1</a:t>
              </a:r>
            </a:p>
          </xdr:txBody>
        </xdr:sp>
        <xdr:sp macro="" textlink="">
          <xdr:nvSpPr>
            <xdr:cNvPr id="72" name="Rectángulo: esquinas redondeadas 71">
              <a:extLst>
                <a:ext uri="{FF2B5EF4-FFF2-40B4-BE49-F238E27FC236}">
                  <a16:creationId xmlns:a16="http://schemas.microsoft.com/office/drawing/2014/main" id="{14919828-9AD0-D9AC-077C-BE4407B42FAC}"/>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tx1"/>
                  </a:solidFill>
                  <a:latin typeface="Montserrat" panose="00000500000000000000" pitchFamily="2" charset="0"/>
                  <a:ea typeface="+mn-ea"/>
                  <a:cs typeface="+mn-cs"/>
                </a:rPr>
                <a:t>[Rango Criterio 2, Criterio 2]...</a:t>
              </a:r>
            </a:p>
          </xdr:txBody>
        </xdr:sp>
        <xdr:sp macro="" textlink="">
          <xdr:nvSpPr>
            <xdr:cNvPr id="73" name="Rectángulo: esquinas redondeadas 72">
              <a:extLst>
                <a:ext uri="{FF2B5EF4-FFF2-40B4-BE49-F238E27FC236}">
                  <a16:creationId xmlns:a16="http://schemas.microsoft.com/office/drawing/2014/main" id="{D52A986C-BCD5-727A-3EBD-F1A1A1376D79}"/>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4" name="Rectángulo: esquinas redondeadas 73">
              <a:extLst>
                <a:ext uri="{FF2B5EF4-FFF2-40B4-BE49-F238E27FC236}">
                  <a16:creationId xmlns:a16="http://schemas.microsoft.com/office/drawing/2014/main" id="{8ADD445B-5966-2B53-43B0-BA3A9C9EB00F}"/>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5" name="Rectángulo: esquinas redondeadas 74">
              <a:extLst>
                <a:ext uri="{FF2B5EF4-FFF2-40B4-BE49-F238E27FC236}">
                  <a16:creationId xmlns:a16="http://schemas.microsoft.com/office/drawing/2014/main" id="{D433DE6D-4AA7-75B8-1519-F54C5B86544B}"/>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60" name="Grupo 59">
            <a:extLst>
              <a:ext uri="{FF2B5EF4-FFF2-40B4-BE49-F238E27FC236}">
                <a16:creationId xmlns:a16="http://schemas.microsoft.com/office/drawing/2014/main" id="{676443C5-1298-5FD6-600D-25D383F3EFAB}"/>
              </a:ext>
            </a:extLst>
          </xdr:cNvPr>
          <xdr:cNvGrpSpPr/>
        </xdr:nvGrpSpPr>
        <xdr:grpSpPr>
          <a:xfrm>
            <a:off x="2324100" y="819150"/>
            <a:ext cx="6580575" cy="612000"/>
            <a:chOff x="2190749" y="2847975"/>
            <a:chExt cx="6580575" cy="612000"/>
          </a:xfrm>
        </xdr:grpSpPr>
        <xdr:sp macro="" textlink="">
          <xdr:nvSpPr>
            <xdr:cNvPr id="61" name="Rectángulo: esquinas redondeadas 60">
              <a:extLst>
                <a:ext uri="{FF2B5EF4-FFF2-40B4-BE49-F238E27FC236}">
                  <a16:creationId xmlns:a16="http://schemas.microsoft.com/office/drawing/2014/main" id="{482C9A0B-45A4-9603-A1B3-7E4B9DE91B15}"/>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primer rango de celdas al cual se aplicará el criterio1.</a:t>
              </a:r>
            </a:p>
          </xdr:txBody>
        </xdr:sp>
        <xdr:pic>
          <xdr:nvPicPr>
            <xdr:cNvPr id="62" name="Gráfico 61" descr="Information con relleno sólido">
              <a:extLst>
                <a:ext uri="{FF2B5EF4-FFF2-40B4-BE49-F238E27FC236}">
                  <a16:creationId xmlns:a16="http://schemas.microsoft.com/office/drawing/2014/main" id="{019CABAD-462F-17F0-7EF3-028A968E438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28850" y="2876550"/>
              <a:ext cx="161925" cy="161925"/>
            </a:xfrm>
            <a:prstGeom prst="rect">
              <a:avLst/>
            </a:prstGeom>
          </xdr:spPr>
        </xdr:pic>
        <xdr:sp macro="" textlink="">
          <xdr:nvSpPr>
            <xdr:cNvPr id="63" name="Rectángulo: esquinas redondeadas 62">
              <a:extLst>
                <a:ext uri="{FF2B5EF4-FFF2-40B4-BE49-F238E27FC236}">
                  <a16:creationId xmlns:a16="http://schemas.microsoft.com/office/drawing/2014/main" id="{AD075207-A5FC-6C8B-9285-107DE81EBD48}"/>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que deben cumplir las celdas en rango_criterio1 para ser contadas.</a:t>
              </a:r>
            </a:p>
          </xdr:txBody>
        </xdr:sp>
        <xdr:pic>
          <xdr:nvPicPr>
            <xdr:cNvPr id="64" name="Gráfico 63" descr="Information con relleno sólido">
              <a:extLst>
                <a:ext uri="{FF2B5EF4-FFF2-40B4-BE49-F238E27FC236}">
                  <a16:creationId xmlns:a16="http://schemas.microsoft.com/office/drawing/2014/main" id="{D83AD0E1-F09F-90FA-5F31-76A61FEA149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81525" y="2867025"/>
              <a:ext cx="161925" cy="161925"/>
            </a:xfrm>
            <a:prstGeom prst="rect">
              <a:avLst/>
            </a:prstGeom>
          </xdr:spPr>
        </xdr:pic>
        <xdr:sp macro="" textlink="">
          <xdr:nvSpPr>
            <xdr:cNvPr id="65" name="Rectángulo: esquinas redondeadas 64">
              <a:extLst>
                <a:ext uri="{FF2B5EF4-FFF2-40B4-BE49-F238E27FC236}">
                  <a16:creationId xmlns:a16="http://schemas.microsoft.com/office/drawing/2014/main" id="{4DFF7F80-22F9-C06C-29DB-82C15BD3EACE}"/>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Pares adicionales de rangos y criterios. Se pueden especificar múltiples pares para aplicar varios criterios de conteo.</a:t>
              </a:r>
            </a:p>
          </xdr:txBody>
        </xdr:sp>
        <xdr:pic>
          <xdr:nvPicPr>
            <xdr:cNvPr id="66" name="Gráfico 65" descr="Information con relleno sólido">
              <a:extLst>
                <a:ext uri="{FF2B5EF4-FFF2-40B4-BE49-F238E27FC236}">
                  <a16:creationId xmlns:a16="http://schemas.microsoft.com/office/drawing/2014/main" id="{21AE6193-3C26-1DA0-C833-45780228359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829425" y="2857500"/>
              <a:ext cx="161925" cy="161925"/>
            </a:xfrm>
            <a:prstGeom prst="rect">
              <a:avLst/>
            </a:prstGeom>
          </xdr:spPr>
        </xdr:pic>
      </xdr:grp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9</xdr:col>
      <xdr:colOff>651051</xdr:colOff>
      <xdr:row>4</xdr:row>
      <xdr:rowOff>177800</xdr:rowOff>
    </xdr:to>
    <xdr:sp macro="" textlink="">
      <xdr:nvSpPr>
        <xdr:cNvPr id="2" name="Rectángulo: esquinas redondeadas 1">
          <a:extLst>
            <a:ext uri="{FF2B5EF4-FFF2-40B4-BE49-F238E27FC236}">
              <a16:creationId xmlns:a16="http://schemas.microsoft.com/office/drawing/2014/main" id="{51F3A8AC-FCEC-4F6A-825D-FAC00385DD5B}"/>
            </a:ext>
          </a:extLst>
        </xdr:cNvPr>
        <xdr:cNvSpPr/>
      </xdr:nvSpPr>
      <xdr:spPr>
        <a:xfrm>
          <a:off x="123824" y="819150"/>
          <a:ext cx="13575419"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9</xdr:col>
      <xdr:colOff>700616</xdr:colOff>
      <xdr:row>7</xdr:row>
      <xdr:rowOff>166460</xdr:rowOff>
    </xdr:to>
    <xdr:sp macro="" textlink="">
      <xdr:nvSpPr>
        <xdr:cNvPr id="3" name="Rectángulo: esquinas redondeadas 2">
          <a:extLst>
            <a:ext uri="{FF2B5EF4-FFF2-40B4-BE49-F238E27FC236}">
              <a16:creationId xmlns:a16="http://schemas.microsoft.com/office/drawing/2014/main" id="{946DC58B-7AB0-438A-932C-A7398F970814}"/>
            </a:ext>
          </a:extLst>
        </xdr:cNvPr>
        <xdr:cNvSpPr/>
      </xdr:nvSpPr>
      <xdr:spPr>
        <a:xfrm>
          <a:off x="155573" y="1207861"/>
          <a:ext cx="13586885" cy="55562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SUMAR.SI (SUMIF en inglés) </a:t>
          </a:r>
          <a:r>
            <a:rPr lang="en-US" sz="1000" b="0">
              <a:solidFill>
                <a:schemeClr val="tx1"/>
              </a:solidFill>
              <a:latin typeface="Montserrat" panose="00000500000000000000" pitchFamily="2" charset="0"/>
              <a:ea typeface="+mn-ea"/>
              <a:cs typeface="+mn-cs"/>
            </a:rPr>
            <a:t>es una función en Excel que suma los valores en un rango que cumplen con un criterio especificado. Esta función es útil para sumar números basándose en condiciones específicas, como sumar ventas de un determinado producto, sumas basadas en rangos de fechas, o cualquier situación donde solo quieras sumar valores que cumplan con ciertos criterios.</a:t>
          </a:r>
        </a:p>
      </xdr:txBody>
    </xdr:sp>
    <xdr:clientData/>
  </xdr:twoCellAnchor>
  <xdr:twoCellAnchor editAs="oneCell">
    <xdr:from>
      <xdr:col>0</xdr:col>
      <xdr:colOff>123824</xdr:colOff>
      <xdr:row>8</xdr:row>
      <xdr:rowOff>57150</xdr:rowOff>
    </xdr:from>
    <xdr:to>
      <xdr:col>9</xdr:col>
      <xdr:colOff>651051</xdr:colOff>
      <xdr:row>9</xdr:row>
      <xdr:rowOff>111125</xdr:rowOff>
    </xdr:to>
    <xdr:sp macro="" textlink="">
      <xdr:nvSpPr>
        <xdr:cNvPr id="4" name="Rectángulo: esquinas redondeadas 3">
          <a:extLst>
            <a:ext uri="{FF2B5EF4-FFF2-40B4-BE49-F238E27FC236}">
              <a16:creationId xmlns:a16="http://schemas.microsoft.com/office/drawing/2014/main" id="{DAC44E9C-7F8E-459A-96A7-F51E0B1BAFB8}"/>
            </a:ext>
          </a:extLst>
        </xdr:cNvPr>
        <xdr:cNvSpPr/>
      </xdr:nvSpPr>
      <xdr:spPr>
        <a:xfrm>
          <a:off x="123824" y="1885950"/>
          <a:ext cx="13575419"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9</xdr:col>
      <xdr:colOff>651051</xdr:colOff>
      <xdr:row>18</xdr:row>
      <xdr:rowOff>73026</xdr:rowOff>
    </xdr:to>
    <xdr:sp macro="" textlink="">
      <xdr:nvSpPr>
        <xdr:cNvPr id="5" name="Rectángulo: esquinas redondeadas 4">
          <a:extLst>
            <a:ext uri="{FF2B5EF4-FFF2-40B4-BE49-F238E27FC236}">
              <a16:creationId xmlns:a16="http://schemas.microsoft.com/office/drawing/2014/main" id="{57893E97-8F39-4EDB-A409-0AAE2FAC6849}"/>
            </a:ext>
          </a:extLst>
        </xdr:cNvPr>
        <xdr:cNvSpPr/>
      </xdr:nvSpPr>
      <xdr:spPr>
        <a:xfrm>
          <a:off x="123824" y="3905250"/>
          <a:ext cx="13575419"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36</xdr:row>
      <xdr:rowOff>0</xdr:rowOff>
    </xdr:from>
    <xdr:to>
      <xdr:col>9</xdr:col>
      <xdr:colOff>683683</xdr:colOff>
      <xdr:row>37</xdr:row>
      <xdr:rowOff>53977</xdr:rowOff>
    </xdr:to>
    <xdr:sp macro="" textlink="">
      <xdr:nvSpPr>
        <xdr:cNvPr id="6" name="Rectángulo: esquinas redondeadas 5">
          <a:extLst>
            <a:ext uri="{FF2B5EF4-FFF2-40B4-BE49-F238E27FC236}">
              <a16:creationId xmlns:a16="http://schemas.microsoft.com/office/drawing/2014/main" id="{1426462C-D688-44F9-9D34-C59A25B11986}"/>
            </a:ext>
          </a:extLst>
        </xdr:cNvPr>
        <xdr:cNvSpPr/>
      </xdr:nvSpPr>
      <xdr:spPr>
        <a:xfrm>
          <a:off x="123825" y="8458200"/>
          <a:ext cx="13601700"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40</xdr:row>
      <xdr:rowOff>190500</xdr:rowOff>
    </xdr:from>
    <xdr:to>
      <xdr:col>9</xdr:col>
      <xdr:colOff>709082</xdr:colOff>
      <xdr:row>43</xdr:row>
      <xdr:rowOff>73870</xdr:rowOff>
    </xdr:to>
    <xdr:sp macro="" textlink="">
      <xdr:nvSpPr>
        <xdr:cNvPr id="7" name="Rectángulo: esquinas redondeadas 6">
          <a:extLst>
            <a:ext uri="{FF2B5EF4-FFF2-40B4-BE49-F238E27FC236}">
              <a16:creationId xmlns:a16="http://schemas.microsoft.com/office/drawing/2014/main" id="{A3B70594-57D0-4E76-9924-367218576E33}"/>
            </a:ext>
          </a:extLst>
        </xdr:cNvPr>
        <xdr:cNvSpPr/>
      </xdr:nvSpPr>
      <xdr:spPr>
        <a:xfrm>
          <a:off x="95249" y="9563100"/>
          <a:ext cx="13662025" cy="56514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 total de ventas de Nissan</a:t>
          </a:r>
        </a:p>
      </xdr:txBody>
    </xdr:sp>
    <xdr:clientData/>
  </xdr:twoCellAnchor>
  <xdr:twoCellAnchor editAs="oneCell">
    <xdr:from>
      <xdr:col>1</xdr:col>
      <xdr:colOff>12699</xdr:colOff>
      <xdr:row>0</xdr:row>
      <xdr:rowOff>101600</xdr:rowOff>
    </xdr:from>
    <xdr:to>
      <xdr:col>9</xdr:col>
      <xdr:colOff>741892</xdr:colOff>
      <xdr:row>2</xdr:row>
      <xdr:rowOff>177800</xdr:rowOff>
    </xdr:to>
    <xdr:grpSp>
      <xdr:nvGrpSpPr>
        <xdr:cNvPr id="8" name="Grupo 7">
          <a:extLst>
            <a:ext uri="{FF2B5EF4-FFF2-40B4-BE49-F238E27FC236}">
              <a16:creationId xmlns:a16="http://schemas.microsoft.com/office/drawing/2014/main" id="{A4036A16-8886-4C0C-887C-07BF1268AD91}"/>
            </a:ext>
          </a:extLst>
        </xdr:cNvPr>
        <xdr:cNvGrpSpPr/>
      </xdr:nvGrpSpPr>
      <xdr:grpSpPr>
        <a:xfrm>
          <a:off x="123670" y="101600"/>
          <a:ext cx="12196183" cy="446103"/>
          <a:chOff x="136524" y="104775"/>
          <a:chExt cx="13664143" cy="541867"/>
        </a:xfrm>
      </xdr:grpSpPr>
      <xdr:sp macro="" textlink="">
        <xdr:nvSpPr>
          <xdr:cNvPr id="9" name="Rectángulo: esquinas redondeadas 8">
            <a:extLst>
              <a:ext uri="{FF2B5EF4-FFF2-40B4-BE49-F238E27FC236}">
                <a16:creationId xmlns:a16="http://schemas.microsoft.com/office/drawing/2014/main" id="{E01739DD-98E8-3C23-B2CC-F4344DF0F847}"/>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5768E678-7FBA-1C87-8C6A-E389C4B35525}"/>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SUMAR.SI</a:t>
            </a:r>
          </a:p>
        </xdr:txBody>
      </xdr:sp>
      <xdr:pic>
        <xdr:nvPicPr>
          <xdr:cNvPr id="11" name="Gráfico 10" descr="Search Inventory con relleno sólido">
            <a:extLst>
              <a:ext uri="{FF2B5EF4-FFF2-40B4-BE49-F238E27FC236}">
                <a16:creationId xmlns:a16="http://schemas.microsoft.com/office/drawing/2014/main" id="{46716F29-1933-F6CD-1874-F3584A197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12" name="Gráfico 11" descr="Circle with left arrow con relleno sólido">
            <a:hlinkClick xmlns:r="http://schemas.openxmlformats.org/officeDocument/2006/relationships" r:id="rId3"/>
            <a:extLst>
              <a:ext uri="{FF2B5EF4-FFF2-40B4-BE49-F238E27FC236}">
                <a16:creationId xmlns:a16="http://schemas.microsoft.com/office/drawing/2014/main" id="{01080CDD-6953-1562-495E-0CE554B55DB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72</xdr:row>
      <xdr:rowOff>28575</xdr:rowOff>
    </xdr:from>
    <xdr:to>
      <xdr:col>9</xdr:col>
      <xdr:colOff>689152</xdr:colOff>
      <xdr:row>73</xdr:row>
      <xdr:rowOff>76198</xdr:rowOff>
    </xdr:to>
    <xdr:sp macro="" textlink="">
      <xdr:nvSpPr>
        <xdr:cNvPr id="13" name="Rectángulo: esquinas redondeadas 12">
          <a:extLst>
            <a:ext uri="{FF2B5EF4-FFF2-40B4-BE49-F238E27FC236}">
              <a16:creationId xmlns:a16="http://schemas.microsoft.com/office/drawing/2014/main" id="{9D7A06CE-D5A4-4F06-AACC-77EED5EA4693}"/>
            </a:ext>
          </a:extLst>
        </xdr:cNvPr>
        <xdr:cNvSpPr/>
      </xdr:nvSpPr>
      <xdr:spPr>
        <a:xfrm>
          <a:off x="152400" y="17630775"/>
          <a:ext cx="13584944" cy="27622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73</xdr:row>
      <xdr:rowOff>161925</xdr:rowOff>
    </xdr:from>
    <xdr:to>
      <xdr:col>9</xdr:col>
      <xdr:colOff>726017</xdr:colOff>
      <xdr:row>76</xdr:row>
      <xdr:rowOff>148166</xdr:rowOff>
    </xdr:to>
    <xdr:sp macro="" textlink="">
      <xdr:nvSpPr>
        <xdr:cNvPr id="14" name="Rectángulo: esquinas redondeadas 13">
          <a:extLst>
            <a:ext uri="{FF2B5EF4-FFF2-40B4-BE49-F238E27FC236}">
              <a16:creationId xmlns:a16="http://schemas.microsoft.com/office/drawing/2014/main" id="{1D2A061F-1DE8-4553-B082-34AC69DFA5AB}"/>
            </a:ext>
          </a:extLst>
        </xdr:cNvPr>
        <xdr:cNvSpPr/>
      </xdr:nvSpPr>
      <xdr:spPr>
        <a:xfrm>
          <a:off x="184149" y="17992725"/>
          <a:ext cx="13590060" cy="66886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SUMAR.SI.CONJUNTO (SUMIFS en inglés) </a:t>
          </a:r>
          <a:r>
            <a:rPr lang="en-US" sz="1000" b="0">
              <a:solidFill>
                <a:schemeClr val="tx1"/>
              </a:solidFill>
              <a:latin typeface="Montserrat" panose="00000500000000000000" pitchFamily="2" charset="0"/>
              <a:ea typeface="+mn-ea"/>
              <a:cs typeface="+mn-cs"/>
            </a:rPr>
            <a:t>es una función en Excel que suma los valores en un rango basándose en múltiples criterios. A diferencia de SUMAR.SI, que solo permite un criterio, SUMAR.SI.CONJUNTO puede aplicar varios criterios a diferentes rangos, lo que la hace extremadamente útil para sumas condicionales complejas en análisis de datos detallados.</a:t>
          </a:r>
        </a:p>
      </xdr:txBody>
    </xdr:sp>
    <xdr:clientData/>
  </xdr:twoCellAnchor>
  <xdr:twoCellAnchor editAs="oneCell">
    <xdr:from>
      <xdr:col>1</xdr:col>
      <xdr:colOff>14817</xdr:colOff>
      <xdr:row>77</xdr:row>
      <xdr:rowOff>65616</xdr:rowOff>
    </xdr:from>
    <xdr:to>
      <xdr:col>9</xdr:col>
      <xdr:colOff>681744</xdr:colOff>
      <xdr:row>78</xdr:row>
      <xdr:rowOff>95253</xdr:rowOff>
    </xdr:to>
    <xdr:sp macro="" textlink="">
      <xdr:nvSpPr>
        <xdr:cNvPr id="15" name="Rectángulo: esquinas redondeadas 14">
          <a:extLst>
            <a:ext uri="{FF2B5EF4-FFF2-40B4-BE49-F238E27FC236}">
              <a16:creationId xmlns:a16="http://schemas.microsoft.com/office/drawing/2014/main" id="{F05EE092-1C1B-471A-B7DF-7B7828672687}"/>
            </a:ext>
          </a:extLst>
        </xdr:cNvPr>
        <xdr:cNvSpPr/>
      </xdr:nvSpPr>
      <xdr:spPr>
        <a:xfrm>
          <a:off x="138642" y="18810816"/>
          <a:ext cx="13588119" cy="25823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85</xdr:row>
      <xdr:rowOff>147108</xdr:rowOff>
    </xdr:from>
    <xdr:to>
      <xdr:col>9</xdr:col>
      <xdr:colOff>689152</xdr:colOff>
      <xdr:row>86</xdr:row>
      <xdr:rowOff>182033</xdr:rowOff>
    </xdr:to>
    <xdr:sp macro="" textlink="">
      <xdr:nvSpPr>
        <xdr:cNvPr id="16" name="Rectángulo: esquinas redondeadas 15">
          <a:extLst>
            <a:ext uri="{FF2B5EF4-FFF2-40B4-BE49-F238E27FC236}">
              <a16:creationId xmlns:a16="http://schemas.microsoft.com/office/drawing/2014/main" id="{51936031-D2FA-4AFC-9695-2499210A277D}"/>
            </a:ext>
          </a:extLst>
        </xdr:cNvPr>
        <xdr:cNvSpPr/>
      </xdr:nvSpPr>
      <xdr:spPr>
        <a:xfrm>
          <a:off x="152400" y="20721108"/>
          <a:ext cx="135849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31751</xdr:colOff>
      <xdr:row>104</xdr:row>
      <xdr:rowOff>128058</xdr:rowOff>
    </xdr:from>
    <xdr:to>
      <xdr:col>9</xdr:col>
      <xdr:colOff>721784</xdr:colOff>
      <xdr:row>105</xdr:row>
      <xdr:rowOff>172507</xdr:rowOff>
    </xdr:to>
    <xdr:sp macro="" textlink="">
      <xdr:nvSpPr>
        <xdr:cNvPr id="17" name="Rectángulo: esquinas redondeadas 16">
          <a:extLst>
            <a:ext uri="{FF2B5EF4-FFF2-40B4-BE49-F238E27FC236}">
              <a16:creationId xmlns:a16="http://schemas.microsoft.com/office/drawing/2014/main" id="{D66BB610-9970-406B-85B5-EFF6646480DB}"/>
            </a:ext>
          </a:extLst>
        </xdr:cNvPr>
        <xdr:cNvSpPr/>
      </xdr:nvSpPr>
      <xdr:spPr>
        <a:xfrm>
          <a:off x="155576" y="23902458"/>
          <a:ext cx="13604875" cy="27304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109</xdr:row>
      <xdr:rowOff>85724</xdr:rowOff>
    </xdr:from>
    <xdr:to>
      <xdr:col>9</xdr:col>
      <xdr:colOff>759883</xdr:colOff>
      <xdr:row>111</xdr:row>
      <xdr:rowOff>182032</xdr:rowOff>
    </xdr:to>
    <xdr:sp macro="" textlink="">
      <xdr:nvSpPr>
        <xdr:cNvPr id="18" name="Rectángulo: esquinas redondeadas 17">
          <a:extLst>
            <a:ext uri="{FF2B5EF4-FFF2-40B4-BE49-F238E27FC236}">
              <a16:creationId xmlns:a16="http://schemas.microsoft.com/office/drawing/2014/main" id="{17B41471-FF8D-4146-A453-C26DC76547D5}"/>
            </a:ext>
          </a:extLst>
        </xdr:cNvPr>
        <xdr:cNvSpPr/>
      </xdr:nvSpPr>
      <xdr:spPr>
        <a:xfrm>
          <a:off x="123825" y="25003124"/>
          <a:ext cx="13674725" cy="56303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a:t>
          </a:r>
          <a:r>
            <a:rPr lang="en-US" sz="1000" b="0" baseline="0">
              <a:solidFill>
                <a:schemeClr val="tx1"/>
              </a:solidFill>
              <a:latin typeface="Montserrat" panose="00000500000000000000" pitchFamily="2" charset="0"/>
              <a:ea typeface="+mn-ea"/>
              <a:cs typeface="+mn-cs"/>
            </a:rPr>
            <a:t> total de ventas de Honda Silverado</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44450</xdr:colOff>
      <xdr:row>69</xdr:row>
      <xdr:rowOff>0</xdr:rowOff>
    </xdr:from>
    <xdr:to>
      <xdr:col>9</xdr:col>
      <xdr:colOff>795868</xdr:colOff>
      <xdr:row>71</xdr:row>
      <xdr:rowOff>73021</xdr:rowOff>
    </xdr:to>
    <xdr:grpSp>
      <xdr:nvGrpSpPr>
        <xdr:cNvPr id="19" name="Grupo 18">
          <a:extLst>
            <a:ext uri="{FF2B5EF4-FFF2-40B4-BE49-F238E27FC236}">
              <a16:creationId xmlns:a16="http://schemas.microsoft.com/office/drawing/2014/main" id="{CB8C6479-C469-419C-B4EA-ED97309545A2}"/>
            </a:ext>
          </a:extLst>
        </xdr:cNvPr>
        <xdr:cNvGrpSpPr/>
      </xdr:nvGrpSpPr>
      <xdr:grpSpPr>
        <a:xfrm>
          <a:off x="155421" y="12798641"/>
          <a:ext cx="12218408" cy="442924"/>
          <a:chOff x="136524" y="104775"/>
          <a:chExt cx="13664143" cy="541867"/>
        </a:xfrm>
      </xdr:grpSpPr>
      <xdr:sp macro="" textlink="">
        <xdr:nvSpPr>
          <xdr:cNvPr id="20" name="Rectángulo: esquinas redondeadas 19">
            <a:extLst>
              <a:ext uri="{FF2B5EF4-FFF2-40B4-BE49-F238E27FC236}">
                <a16:creationId xmlns:a16="http://schemas.microsoft.com/office/drawing/2014/main" id="{1FB6AE5A-9562-FE5A-DF08-80C1D9F9BA99}"/>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1" name="CuadroTexto 20">
            <a:extLst>
              <a:ext uri="{FF2B5EF4-FFF2-40B4-BE49-F238E27FC236}">
                <a16:creationId xmlns:a16="http://schemas.microsoft.com/office/drawing/2014/main" id="{DB070CAF-2F0F-7869-8000-E732E7CA6C65}"/>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SUMAR.SI.CONJUNTO</a:t>
            </a:r>
          </a:p>
        </xdr:txBody>
      </xdr:sp>
      <xdr:pic>
        <xdr:nvPicPr>
          <xdr:cNvPr id="22" name="Gráfico 21" descr="Search Inventory con relleno sólido">
            <a:extLst>
              <a:ext uri="{FF2B5EF4-FFF2-40B4-BE49-F238E27FC236}">
                <a16:creationId xmlns:a16="http://schemas.microsoft.com/office/drawing/2014/main" id="{99F54F19-A696-B9C0-3714-3AB0145DEF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23" name="Gráfico 22" descr="Circle with left arrow con relleno sólido">
            <a:hlinkClick xmlns:r="http://schemas.openxmlformats.org/officeDocument/2006/relationships" r:id="rId3"/>
            <a:extLst>
              <a:ext uri="{FF2B5EF4-FFF2-40B4-BE49-F238E27FC236}">
                <a16:creationId xmlns:a16="http://schemas.microsoft.com/office/drawing/2014/main" id="{783C97A1-4A3D-4577-CEEC-3E9691CE36E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1</xdr:col>
      <xdr:colOff>105682</xdr:colOff>
      <xdr:row>10</xdr:row>
      <xdr:rowOff>84819</xdr:rowOff>
    </xdr:from>
    <xdr:to>
      <xdr:col>8</xdr:col>
      <xdr:colOff>167369</xdr:colOff>
      <xdr:row>16</xdr:row>
      <xdr:rowOff>67520</xdr:rowOff>
    </xdr:to>
    <xdr:grpSp>
      <xdr:nvGrpSpPr>
        <xdr:cNvPr id="24" name="Grupo 23">
          <a:extLst>
            <a:ext uri="{FF2B5EF4-FFF2-40B4-BE49-F238E27FC236}">
              <a16:creationId xmlns:a16="http://schemas.microsoft.com/office/drawing/2014/main" id="{70DD5267-B56D-4F97-A84A-540498EE3302}"/>
            </a:ext>
          </a:extLst>
        </xdr:cNvPr>
        <xdr:cNvGrpSpPr/>
      </xdr:nvGrpSpPr>
      <xdr:grpSpPr>
        <a:xfrm>
          <a:off x="216653" y="1934334"/>
          <a:ext cx="7607706" cy="1092409"/>
          <a:chOff x="276225" y="352425"/>
          <a:chExt cx="9029702" cy="1198618"/>
        </a:xfrm>
      </xdr:grpSpPr>
      <xdr:grpSp>
        <xdr:nvGrpSpPr>
          <xdr:cNvPr id="25" name="Grupo 24">
            <a:extLst>
              <a:ext uri="{FF2B5EF4-FFF2-40B4-BE49-F238E27FC236}">
                <a16:creationId xmlns:a16="http://schemas.microsoft.com/office/drawing/2014/main" id="{F3607CA2-01DE-79D9-927D-36A3A14F7609}"/>
              </a:ext>
            </a:extLst>
          </xdr:cNvPr>
          <xdr:cNvGrpSpPr/>
        </xdr:nvGrpSpPr>
        <xdr:grpSpPr>
          <a:xfrm>
            <a:off x="276225" y="352425"/>
            <a:ext cx="9029702" cy="352426"/>
            <a:chOff x="142874" y="2266950"/>
            <a:chExt cx="9029702" cy="352426"/>
          </a:xfrm>
        </xdr:grpSpPr>
        <xdr:sp macro="" textlink="">
          <xdr:nvSpPr>
            <xdr:cNvPr id="33" name="Rectángulo: esquinas redondeadas 32">
              <a:extLst>
                <a:ext uri="{FF2B5EF4-FFF2-40B4-BE49-F238E27FC236}">
                  <a16:creationId xmlns:a16="http://schemas.microsoft.com/office/drawing/2014/main" id="{3CBBEFD7-ED84-25D7-64DE-046E0C661243}"/>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4" name="Rectángulo: esquinas redondeadas 33">
              <a:extLst>
                <a:ext uri="{FF2B5EF4-FFF2-40B4-BE49-F238E27FC236}">
                  <a16:creationId xmlns:a16="http://schemas.microsoft.com/office/drawing/2014/main" id="{473B3600-FDFD-2DC1-4725-41523AA8952B}"/>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SUMAR.SI</a:t>
              </a:r>
            </a:p>
          </xdr:txBody>
        </xdr:sp>
        <xdr:sp macro="" textlink="">
          <xdr:nvSpPr>
            <xdr:cNvPr id="35" name="Rectángulo: esquinas redondeadas 34">
              <a:extLst>
                <a:ext uri="{FF2B5EF4-FFF2-40B4-BE49-F238E27FC236}">
                  <a16:creationId xmlns:a16="http://schemas.microsoft.com/office/drawing/2014/main" id="{1859104A-03DE-C561-E286-5D0D3214AAFE}"/>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6" name="Rectángulo: esquinas redondeadas 35">
              <a:extLst>
                <a:ext uri="{FF2B5EF4-FFF2-40B4-BE49-F238E27FC236}">
                  <a16:creationId xmlns:a16="http://schemas.microsoft.com/office/drawing/2014/main" id="{5765BB60-9A29-AAC4-76D7-D041D5114C6D}"/>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37" name="Rectángulo: esquinas redondeadas 36">
              <a:extLst>
                <a:ext uri="{FF2B5EF4-FFF2-40B4-BE49-F238E27FC236}">
                  <a16:creationId xmlns:a16="http://schemas.microsoft.com/office/drawing/2014/main" id="{13CE3CCD-B7F8-59E8-FA26-760FF5161242}"/>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a:t>
              </a:r>
            </a:p>
          </xdr:txBody>
        </xdr:sp>
        <xdr:sp macro="" textlink="">
          <xdr:nvSpPr>
            <xdr:cNvPr id="38" name="Rectángulo: esquinas redondeadas 37">
              <a:extLst>
                <a:ext uri="{FF2B5EF4-FFF2-40B4-BE49-F238E27FC236}">
                  <a16:creationId xmlns:a16="http://schemas.microsoft.com/office/drawing/2014/main" id="{B2A9CC3C-B78B-F6C0-D207-71C4FF8A1D9E}"/>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Suma]</a:t>
              </a:r>
            </a:p>
          </xdr:txBody>
        </xdr:sp>
        <xdr:sp macro="" textlink="">
          <xdr:nvSpPr>
            <xdr:cNvPr id="39" name="Rectángulo: esquinas redondeadas 38">
              <a:extLst>
                <a:ext uri="{FF2B5EF4-FFF2-40B4-BE49-F238E27FC236}">
                  <a16:creationId xmlns:a16="http://schemas.microsoft.com/office/drawing/2014/main" id="{6B79C2B7-9981-92EF-B191-7E25687131A3}"/>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0" name="Rectángulo: esquinas redondeadas 39">
              <a:extLst>
                <a:ext uri="{FF2B5EF4-FFF2-40B4-BE49-F238E27FC236}">
                  <a16:creationId xmlns:a16="http://schemas.microsoft.com/office/drawing/2014/main" id="{35D14E19-BD06-2037-6E9F-66461456E394}"/>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1" name="Rectángulo: esquinas redondeadas 40">
              <a:extLst>
                <a:ext uri="{FF2B5EF4-FFF2-40B4-BE49-F238E27FC236}">
                  <a16:creationId xmlns:a16="http://schemas.microsoft.com/office/drawing/2014/main" id="{36554DCE-ABC7-16E9-27E5-CFFFF7128D63}"/>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26" name="Grupo 25">
            <a:extLst>
              <a:ext uri="{FF2B5EF4-FFF2-40B4-BE49-F238E27FC236}">
                <a16:creationId xmlns:a16="http://schemas.microsoft.com/office/drawing/2014/main" id="{6106A187-866F-02DC-B901-0640BC01B9DD}"/>
              </a:ext>
            </a:extLst>
          </xdr:cNvPr>
          <xdr:cNvGrpSpPr/>
        </xdr:nvGrpSpPr>
        <xdr:grpSpPr>
          <a:xfrm>
            <a:off x="2324100" y="819150"/>
            <a:ext cx="6580575" cy="731893"/>
            <a:chOff x="2190749" y="2847975"/>
            <a:chExt cx="6580575" cy="731893"/>
          </a:xfrm>
        </xdr:grpSpPr>
        <xdr:sp macro="" textlink="">
          <xdr:nvSpPr>
            <xdr:cNvPr id="27" name="Rectángulo: esquinas redondeadas 26">
              <a:extLst>
                <a:ext uri="{FF2B5EF4-FFF2-40B4-BE49-F238E27FC236}">
                  <a16:creationId xmlns:a16="http://schemas.microsoft.com/office/drawing/2014/main" id="{816D3CF8-8FF8-AB4A-34BD-0F4B5E2FEC0D}"/>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que se evaluará con el criterio. Este rango puede contener números, texto, fechas, etc.</a:t>
              </a:r>
            </a:p>
          </xdr:txBody>
        </xdr:sp>
        <xdr:pic>
          <xdr:nvPicPr>
            <xdr:cNvPr id="28" name="Gráfico 27" descr="Information con relleno sólido">
              <a:extLst>
                <a:ext uri="{FF2B5EF4-FFF2-40B4-BE49-F238E27FC236}">
                  <a16:creationId xmlns:a16="http://schemas.microsoft.com/office/drawing/2014/main" id="{62B7BF3F-D565-E243-625B-55808270C9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29" name="Rectángulo: esquinas redondeadas 28">
              <a:extLst>
                <a:ext uri="{FF2B5EF4-FFF2-40B4-BE49-F238E27FC236}">
                  <a16:creationId xmlns:a16="http://schemas.microsoft.com/office/drawing/2014/main" id="{C5D8E6F1-8357-64B2-53AC-344A81620FE6}"/>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en forma de número, expresión, referencia de celda, o texto que define qué celdas se sumarán. El criterio puede ser algo como "&gt;10", "&gt;=100", "Apple", o una fecha "2024-01-01".</a:t>
              </a:r>
            </a:p>
          </xdr:txBody>
        </xdr:sp>
        <xdr:pic>
          <xdr:nvPicPr>
            <xdr:cNvPr id="30" name="Gráfico 29" descr="Information con relleno sólido">
              <a:extLst>
                <a:ext uri="{FF2B5EF4-FFF2-40B4-BE49-F238E27FC236}">
                  <a16:creationId xmlns:a16="http://schemas.microsoft.com/office/drawing/2014/main" id="{D95ADD80-DB14-56F9-9457-46F4CFD465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31" name="Rectángulo: esquinas redondeadas 30">
              <a:extLst>
                <a:ext uri="{FF2B5EF4-FFF2-40B4-BE49-F238E27FC236}">
                  <a16:creationId xmlns:a16="http://schemas.microsoft.com/office/drawing/2014/main" id="{B2E67968-EB49-0BC8-E049-69DF62698063}"/>
                </a:ext>
              </a:extLst>
            </xdr:cNvPr>
            <xdr:cNvSpPr/>
          </xdr:nvSpPr>
          <xdr:spPr>
            <a:xfrm>
              <a:off x="6791324" y="2847975"/>
              <a:ext cx="1980000" cy="73189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a sumar si se cumple el criterio. Si se omite, Excel suma las celdas en rango.</a:t>
              </a:r>
            </a:p>
          </xdr:txBody>
        </xdr:sp>
        <xdr:pic>
          <xdr:nvPicPr>
            <xdr:cNvPr id="32" name="Gráfico 31" descr="Information con relleno sólido">
              <a:extLst>
                <a:ext uri="{FF2B5EF4-FFF2-40B4-BE49-F238E27FC236}">
                  <a16:creationId xmlns:a16="http://schemas.microsoft.com/office/drawing/2014/main" id="{BCF357EC-610E-CB86-0CC5-6813053A343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xdr:from>
      <xdr:col>0</xdr:col>
      <xdr:colOff>111122</xdr:colOff>
      <xdr:row>135</xdr:row>
      <xdr:rowOff>91019</xdr:rowOff>
    </xdr:from>
    <xdr:to>
      <xdr:col>9</xdr:col>
      <xdr:colOff>677333</xdr:colOff>
      <xdr:row>137</xdr:row>
      <xdr:rowOff>131236</xdr:rowOff>
    </xdr:to>
    <xdr:grpSp>
      <xdr:nvGrpSpPr>
        <xdr:cNvPr id="42" name="Grupo 41">
          <a:extLst>
            <a:ext uri="{FF2B5EF4-FFF2-40B4-BE49-F238E27FC236}">
              <a16:creationId xmlns:a16="http://schemas.microsoft.com/office/drawing/2014/main" id="{0AA421BB-B1A9-47B5-8C56-A16236BCF3F3}"/>
            </a:ext>
          </a:extLst>
        </xdr:cNvPr>
        <xdr:cNvGrpSpPr/>
      </xdr:nvGrpSpPr>
      <xdr:grpSpPr>
        <a:xfrm>
          <a:off x="111122" y="25133446"/>
          <a:ext cx="12144172" cy="410120"/>
          <a:chOff x="107948" y="27982336"/>
          <a:chExt cx="13187893" cy="512233"/>
        </a:xfrm>
      </xdr:grpSpPr>
      <xdr:sp macro="" textlink="">
        <xdr:nvSpPr>
          <xdr:cNvPr id="43" name="Rectángulo: esquinas redondeadas 42">
            <a:extLst>
              <a:ext uri="{FF2B5EF4-FFF2-40B4-BE49-F238E27FC236}">
                <a16:creationId xmlns:a16="http://schemas.microsoft.com/office/drawing/2014/main" id="{AEB88FFA-6066-43FD-392D-BE2DC4C57119}"/>
              </a:ext>
            </a:extLst>
          </xdr:cNvPr>
          <xdr:cNvSpPr/>
        </xdr:nvSpPr>
        <xdr:spPr>
          <a:xfrm>
            <a:off x="107948" y="27982336"/>
            <a:ext cx="13187893" cy="512233"/>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4" name="CuadroTexto 43">
            <a:extLst>
              <a:ext uri="{FF2B5EF4-FFF2-40B4-BE49-F238E27FC236}">
                <a16:creationId xmlns:a16="http://schemas.microsoft.com/office/drawing/2014/main" id="{E4033799-524E-4FBF-767C-C4965618D48B}"/>
              </a:ext>
            </a:extLst>
          </xdr:cNvPr>
          <xdr:cNvSpPr txBox="1"/>
        </xdr:nvSpPr>
        <xdr:spPr>
          <a:xfrm>
            <a:off x="766532" y="28024479"/>
            <a:ext cx="8287702" cy="45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PROMEDIO.SI</a:t>
            </a:r>
          </a:p>
        </xdr:txBody>
      </xdr:sp>
      <xdr:pic>
        <xdr:nvPicPr>
          <xdr:cNvPr id="45" name="Gráfico 44" descr="Search Inventory con relleno sólido">
            <a:extLst>
              <a:ext uri="{FF2B5EF4-FFF2-40B4-BE49-F238E27FC236}">
                <a16:creationId xmlns:a16="http://schemas.microsoft.com/office/drawing/2014/main" id="{D025933B-E0FE-5188-0485-CD38FDDA1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2965" y="28018706"/>
            <a:ext cx="434935" cy="431698"/>
          </a:xfrm>
          <a:prstGeom prst="rect">
            <a:avLst/>
          </a:prstGeom>
        </xdr:spPr>
      </xdr:pic>
      <xdr:pic>
        <xdr:nvPicPr>
          <xdr:cNvPr id="46" name="Gráfico 45" descr="Circle with left arrow con relleno sólido">
            <a:hlinkClick xmlns:r="http://schemas.openxmlformats.org/officeDocument/2006/relationships" r:id="rId3"/>
            <a:extLst>
              <a:ext uri="{FF2B5EF4-FFF2-40B4-BE49-F238E27FC236}">
                <a16:creationId xmlns:a16="http://schemas.microsoft.com/office/drawing/2014/main" id="{60A90A86-5C35-C43E-F905-170D6A1EA7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748516" y="28003216"/>
            <a:ext cx="433237" cy="446997"/>
          </a:xfrm>
          <a:prstGeom prst="rect">
            <a:avLst/>
          </a:prstGeom>
        </xdr:spPr>
      </xdr:pic>
    </xdr:grpSp>
    <xdr:clientData/>
  </xdr:twoCellAnchor>
  <xdr:twoCellAnchor editAs="oneCell">
    <xdr:from>
      <xdr:col>1</xdr:col>
      <xdr:colOff>0</xdr:colOff>
      <xdr:row>173</xdr:row>
      <xdr:rowOff>86783</xdr:rowOff>
    </xdr:from>
    <xdr:to>
      <xdr:col>9</xdr:col>
      <xdr:colOff>683683</xdr:colOff>
      <xdr:row>174</xdr:row>
      <xdr:rowOff>150280</xdr:rowOff>
    </xdr:to>
    <xdr:sp macro="" textlink="">
      <xdr:nvSpPr>
        <xdr:cNvPr id="48" name="Rectángulo: esquinas redondeadas 47">
          <a:extLst>
            <a:ext uri="{FF2B5EF4-FFF2-40B4-BE49-F238E27FC236}">
              <a16:creationId xmlns:a16="http://schemas.microsoft.com/office/drawing/2014/main" id="{A73403D6-511D-4A0D-A9C9-D20A889F6AB0}"/>
            </a:ext>
          </a:extLst>
        </xdr:cNvPr>
        <xdr:cNvSpPr/>
      </xdr:nvSpPr>
      <xdr:spPr>
        <a:xfrm>
          <a:off x="123825" y="33462383"/>
          <a:ext cx="13608050" cy="28257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177</xdr:row>
      <xdr:rowOff>52917</xdr:rowOff>
    </xdr:from>
    <xdr:to>
      <xdr:col>9</xdr:col>
      <xdr:colOff>759883</xdr:colOff>
      <xdr:row>179</xdr:row>
      <xdr:rowOff>155571</xdr:rowOff>
    </xdr:to>
    <xdr:sp macro="" textlink="">
      <xdr:nvSpPr>
        <xdr:cNvPr id="49" name="Rectángulo: esquinas redondeadas 48">
          <a:extLst>
            <a:ext uri="{FF2B5EF4-FFF2-40B4-BE49-F238E27FC236}">
              <a16:creationId xmlns:a16="http://schemas.microsoft.com/office/drawing/2014/main" id="{65CFD20E-65E0-460F-8892-B62611BDA03E}"/>
            </a:ext>
          </a:extLst>
        </xdr:cNvPr>
        <xdr:cNvSpPr/>
      </xdr:nvSpPr>
      <xdr:spPr>
        <a:xfrm>
          <a:off x="123825" y="34571517"/>
          <a:ext cx="13674725" cy="55985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a:t>
          </a:r>
          <a:r>
            <a:rPr lang="en-US" sz="1000" b="0" baseline="0">
              <a:solidFill>
                <a:schemeClr val="tx1"/>
              </a:solidFill>
              <a:latin typeface="Montserrat" panose="00000500000000000000" pitchFamily="2" charset="0"/>
              <a:ea typeface="+mn-ea"/>
              <a:cs typeface="+mn-cs"/>
            </a:rPr>
            <a:t> promedio de Ventas de Altima</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21167</xdr:colOff>
      <xdr:row>79</xdr:row>
      <xdr:rowOff>63500</xdr:rowOff>
    </xdr:from>
    <xdr:to>
      <xdr:col>8</xdr:col>
      <xdr:colOff>2930830</xdr:colOff>
      <xdr:row>84</xdr:row>
      <xdr:rowOff>14686</xdr:rowOff>
    </xdr:to>
    <xdr:grpSp>
      <xdr:nvGrpSpPr>
        <xdr:cNvPr id="68" name="Grupo 67">
          <a:extLst>
            <a:ext uri="{FF2B5EF4-FFF2-40B4-BE49-F238E27FC236}">
              <a16:creationId xmlns:a16="http://schemas.microsoft.com/office/drawing/2014/main" id="{38B71D25-116E-4678-BECC-90E79F52DCA6}"/>
            </a:ext>
          </a:extLst>
        </xdr:cNvPr>
        <xdr:cNvGrpSpPr/>
      </xdr:nvGrpSpPr>
      <xdr:grpSpPr>
        <a:xfrm>
          <a:off x="132138" y="14711655"/>
          <a:ext cx="10455682" cy="875944"/>
          <a:chOff x="257175" y="1764506"/>
          <a:chExt cx="11412313" cy="1109003"/>
        </a:xfrm>
      </xdr:grpSpPr>
      <xdr:grpSp>
        <xdr:nvGrpSpPr>
          <xdr:cNvPr id="69" name="Grupo 68">
            <a:extLst>
              <a:ext uri="{FF2B5EF4-FFF2-40B4-BE49-F238E27FC236}">
                <a16:creationId xmlns:a16="http://schemas.microsoft.com/office/drawing/2014/main" id="{70A5061A-0CC2-99AF-E08D-693EAD191F20}"/>
              </a:ext>
            </a:extLst>
          </xdr:cNvPr>
          <xdr:cNvGrpSpPr/>
        </xdr:nvGrpSpPr>
        <xdr:grpSpPr>
          <a:xfrm>
            <a:off x="257175" y="1764506"/>
            <a:ext cx="11412313" cy="560917"/>
            <a:chOff x="295275" y="923925"/>
            <a:chExt cx="11382377" cy="552386"/>
          </a:xfrm>
        </xdr:grpSpPr>
        <xdr:sp macro="" textlink="">
          <xdr:nvSpPr>
            <xdr:cNvPr id="78" name="Rectángulo: esquinas redondeadas 77">
              <a:extLst>
                <a:ext uri="{FF2B5EF4-FFF2-40B4-BE49-F238E27FC236}">
                  <a16:creationId xmlns:a16="http://schemas.microsoft.com/office/drawing/2014/main" id="{A5E4BC1C-689F-39FD-5290-ADEA27B65862}"/>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9" name="Rectángulo: esquinas redondeadas 78">
              <a:extLst>
                <a:ext uri="{FF2B5EF4-FFF2-40B4-BE49-F238E27FC236}">
                  <a16:creationId xmlns:a16="http://schemas.microsoft.com/office/drawing/2014/main" id="{4868B09D-AD63-7751-FF54-DF3AC9DAF6BC}"/>
                </a:ext>
              </a:extLst>
            </xdr:cNvPr>
            <xdr:cNvSpPr/>
          </xdr:nvSpPr>
          <xdr:spPr>
            <a:xfrm>
              <a:off x="742949" y="923925"/>
              <a:ext cx="1104901" cy="55238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bg1"/>
                  </a:solidFill>
                  <a:latin typeface="Montserrat" panose="00000500000000000000" pitchFamily="2" charset="0"/>
                  <a:ea typeface="+mn-ea"/>
                  <a:cs typeface="+mn-cs"/>
                </a:rPr>
                <a:t>SUMAR.SI.</a:t>
              </a:r>
            </a:p>
            <a:p>
              <a:pPr marL="0" indent="0" algn="ctr"/>
              <a:r>
                <a:rPr lang="en-US" sz="900">
                  <a:solidFill>
                    <a:schemeClr val="bg1"/>
                  </a:solidFill>
                  <a:latin typeface="Montserrat" panose="00000500000000000000" pitchFamily="2" charset="0"/>
                  <a:ea typeface="+mn-ea"/>
                  <a:cs typeface="+mn-cs"/>
                </a:rPr>
                <a:t>CONJUNTO</a:t>
              </a:r>
            </a:p>
          </xdr:txBody>
        </xdr:sp>
        <xdr:sp macro="" textlink="">
          <xdr:nvSpPr>
            <xdr:cNvPr id="80" name="Rectángulo: esquinas redondeadas 79">
              <a:extLst>
                <a:ext uri="{FF2B5EF4-FFF2-40B4-BE49-F238E27FC236}">
                  <a16:creationId xmlns:a16="http://schemas.microsoft.com/office/drawing/2014/main" id="{5C0EEECC-1128-6330-BD1C-ADB0895557A5}"/>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1" name="Rectángulo: esquinas redondeadas 80">
              <a:extLst>
                <a:ext uri="{FF2B5EF4-FFF2-40B4-BE49-F238E27FC236}">
                  <a16:creationId xmlns:a16="http://schemas.microsoft.com/office/drawing/2014/main" id="{9CEA4992-FA6B-9637-A3A0-B0B5CEF0989C}"/>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Suma</a:t>
              </a:r>
            </a:p>
          </xdr:txBody>
        </xdr:sp>
        <xdr:sp macro="" textlink="">
          <xdr:nvSpPr>
            <xdr:cNvPr id="82" name="Rectángulo: esquinas redondeadas 81">
              <a:extLst>
                <a:ext uri="{FF2B5EF4-FFF2-40B4-BE49-F238E27FC236}">
                  <a16:creationId xmlns:a16="http://schemas.microsoft.com/office/drawing/2014/main" id="{36F55D7B-98E7-5F81-B470-F73BD40F1151}"/>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Criterio 1</a:t>
              </a:r>
            </a:p>
          </xdr:txBody>
        </xdr:sp>
        <xdr:sp macro="" textlink="">
          <xdr:nvSpPr>
            <xdr:cNvPr id="83" name="Rectángulo: esquinas redondeadas 82">
              <a:extLst>
                <a:ext uri="{FF2B5EF4-FFF2-40B4-BE49-F238E27FC236}">
                  <a16:creationId xmlns:a16="http://schemas.microsoft.com/office/drawing/2014/main" id="{96C769D2-2A2F-5312-14ED-F341A3265FAE}"/>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 1</a:t>
              </a:r>
            </a:p>
          </xdr:txBody>
        </xdr:sp>
        <xdr:sp macro="" textlink="">
          <xdr:nvSpPr>
            <xdr:cNvPr id="84" name="Rectángulo: esquinas redondeadas 83">
              <a:extLst>
                <a:ext uri="{FF2B5EF4-FFF2-40B4-BE49-F238E27FC236}">
                  <a16:creationId xmlns:a16="http://schemas.microsoft.com/office/drawing/2014/main" id="{E730F084-B4FD-E7C3-A835-61F3240C7575}"/>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5" name="Rectángulo: esquinas redondeadas 84">
              <a:extLst>
                <a:ext uri="{FF2B5EF4-FFF2-40B4-BE49-F238E27FC236}">
                  <a16:creationId xmlns:a16="http://schemas.microsoft.com/office/drawing/2014/main" id="{496B061B-241B-9CC9-B469-4F3CBEA3825F}"/>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6" name="Rectángulo: esquinas redondeadas 85">
              <a:extLst>
                <a:ext uri="{FF2B5EF4-FFF2-40B4-BE49-F238E27FC236}">
                  <a16:creationId xmlns:a16="http://schemas.microsoft.com/office/drawing/2014/main" id="{0D7D8951-2F0B-FFF9-77AB-EFA77F06383B}"/>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7" name="Rectángulo: esquinas redondeadas 86">
              <a:extLst>
                <a:ext uri="{FF2B5EF4-FFF2-40B4-BE49-F238E27FC236}">
                  <a16:creationId xmlns:a16="http://schemas.microsoft.com/office/drawing/2014/main" id="{C3E678AC-5B66-A7E0-D5BA-0593E8C6B5BB}"/>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tx1"/>
                  </a:solidFill>
                  <a:latin typeface="Montserrat" panose="00000500000000000000" pitchFamily="2" charset="0"/>
                  <a:ea typeface="+mn-ea"/>
                  <a:cs typeface="+mn-cs"/>
                </a:rPr>
                <a:t>[Rango Criterio 2,</a:t>
              </a:r>
              <a:r>
                <a:rPr lang="en-US" sz="900" baseline="0">
                  <a:solidFill>
                    <a:schemeClr val="tx1"/>
                  </a:solidFill>
                  <a:latin typeface="Montserrat" panose="00000500000000000000" pitchFamily="2" charset="0"/>
                  <a:ea typeface="+mn-ea"/>
                  <a:cs typeface="+mn-cs"/>
                </a:rPr>
                <a:t> Criterio 2]...</a:t>
              </a:r>
              <a:endParaRPr lang="en-US" sz="900">
                <a:solidFill>
                  <a:schemeClr val="tx1"/>
                </a:solidFill>
                <a:latin typeface="Montserrat" panose="00000500000000000000" pitchFamily="2" charset="0"/>
                <a:ea typeface="+mn-ea"/>
                <a:cs typeface="+mn-cs"/>
              </a:endParaRPr>
            </a:p>
          </xdr:txBody>
        </xdr:sp>
        <xdr:sp macro="" textlink="">
          <xdr:nvSpPr>
            <xdr:cNvPr id="88" name="Rectángulo: esquinas redondeadas 87">
              <a:extLst>
                <a:ext uri="{FF2B5EF4-FFF2-40B4-BE49-F238E27FC236}">
                  <a16:creationId xmlns:a16="http://schemas.microsoft.com/office/drawing/2014/main" id="{C0AEF442-E46D-172A-0816-461CEA1C845E}"/>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70" name="Rectángulo: esquinas redondeadas 69">
            <a:extLst>
              <a:ext uri="{FF2B5EF4-FFF2-40B4-BE49-F238E27FC236}">
                <a16:creationId xmlns:a16="http://schemas.microsoft.com/office/drawing/2014/main" id="{32A6D509-E377-EF1F-F4BC-F591AC03493F}"/>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que se sumarán.</a:t>
            </a:r>
          </a:p>
        </xdr:txBody>
      </xdr:sp>
      <xdr:pic>
        <xdr:nvPicPr>
          <xdr:cNvPr id="71" name="Gráfico 70" descr="Information con relleno sólido">
            <a:extLst>
              <a:ext uri="{FF2B5EF4-FFF2-40B4-BE49-F238E27FC236}">
                <a16:creationId xmlns:a16="http://schemas.microsoft.com/office/drawing/2014/main" id="{6A59EDD8-1C41-A056-6B94-106AB965BD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72" name="Rectángulo: esquinas redondeadas 71">
            <a:extLst>
              <a:ext uri="{FF2B5EF4-FFF2-40B4-BE49-F238E27FC236}">
                <a16:creationId xmlns:a16="http://schemas.microsoft.com/office/drawing/2014/main" id="{C61969CB-58D1-5CE8-C04D-006484213F5E}"/>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primer rango en el cual se evaluarán los criterios1.</a:t>
            </a:r>
          </a:p>
        </xdr:txBody>
      </xdr:sp>
      <xdr:pic>
        <xdr:nvPicPr>
          <xdr:cNvPr id="73" name="Gráfico 72" descr="Information con relleno sólido">
            <a:extLst>
              <a:ext uri="{FF2B5EF4-FFF2-40B4-BE49-F238E27FC236}">
                <a16:creationId xmlns:a16="http://schemas.microsoft.com/office/drawing/2014/main" id="{9658C0EA-E3DB-236E-EA63-196BC6503C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74" name="Rectángulo: esquinas redondeadas 73">
            <a:extLst>
              <a:ext uri="{FF2B5EF4-FFF2-40B4-BE49-F238E27FC236}">
                <a16:creationId xmlns:a16="http://schemas.microsoft.com/office/drawing/2014/main" id="{6FD60ADC-F2AC-4CC8-2AEA-85BE1C2A1D26}"/>
              </a:ext>
            </a:extLst>
          </xdr:cNvPr>
          <xdr:cNvSpPr/>
        </xdr:nvSpPr>
        <xdr:spPr>
          <a:xfrm>
            <a:off x="69001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que debe cumplir el rango_criterios1 para que la celda correspondiente en rango_suma sea incluida en la suma.</a:t>
            </a:r>
          </a:p>
        </xdr:txBody>
      </xdr:sp>
      <xdr:pic>
        <xdr:nvPicPr>
          <xdr:cNvPr id="75" name="Gráfico 74" descr="Information con relleno sólido">
            <a:extLst>
              <a:ext uri="{FF2B5EF4-FFF2-40B4-BE49-F238E27FC236}">
                <a16:creationId xmlns:a16="http://schemas.microsoft.com/office/drawing/2014/main" id="{B420AE59-DB6A-7727-B6E4-6C6F85BED61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sp macro="" textlink="">
        <xdr:nvSpPr>
          <xdr:cNvPr id="76" name="Rectángulo: esquinas redondeadas 75">
            <a:extLst>
              <a:ext uri="{FF2B5EF4-FFF2-40B4-BE49-F238E27FC236}">
                <a16:creationId xmlns:a16="http://schemas.microsoft.com/office/drawing/2014/main" id="{F4A0201B-0FFE-B839-3CB4-E9B81DEDDD91}"/>
              </a:ext>
            </a:extLst>
          </xdr:cNvPr>
          <xdr:cNvSpPr/>
        </xdr:nvSpPr>
        <xdr:spPr>
          <a:xfrm>
            <a:off x="9338577" y="226150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Rangos adicionales y sus criterios correspondientes. SUMAR.SI.CONJUNTO puede aplicar varios criterios, hasta 127 pares de rangos/criterios.</a:t>
            </a:r>
          </a:p>
        </xdr:txBody>
      </xdr:sp>
      <xdr:pic>
        <xdr:nvPicPr>
          <xdr:cNvPr id="77" name="Gráfico 76" descr="Information con relleno sólido">
            <a:extLst>
              <a:ext uri="{FF2B5EF4-FFF2-40B4-BE49-F238E27FC236}">
                <a16:creationId xmlns:a16="http://schemas.microsoft.com/office/drawing/2014/main" id="{3576C631-BCDB-5A12-C7EC-6E0D26F13FB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76678" y="2271034"/>
            <a:ext cx="161925" cy="161925"/>
          </a:xfrm>
          <a:prstGeom prst="rect">
            <a:avLst/>
          </a:prstGeom>
        </xdr:spPr>
      </xdr:pic>
    </xdr:grpSp>
    <xdr:clientData/>
  </xdr:twoCellAnchor>
  <xdr:twoCellAnchor editAs="oneCell">
    <xdr:from>
      <xdr:col>0</xdr:col>
      <xdr:colOff>123825</xdr:colOff>
      <xdr:row>138</xdr:row>
      <xdr:rowOff>84666</xdr:rowOff>
    </xdr:from>
    <xdr:to>
      <xdr:col>9</xdr:col>
      <xdr:colOff>651052</xdr:colOff>
      <xdr:row>139</xdr:row>
      <xdr:rowOff>148165</xdr:rowOff>
    </xdr:to>
    <xdr:sp macro="" textlink="">
      <xdr:nvSpPr>
        <xdr:cNvPr id="89" name="Rectángulo: esquinas redondeadas 88">
          <a:extLst>
            <a:ext uri="{FF2B5EF4-FFF2-40B4-BE49-F238E27FC236}">
              <a16:creationId xmlns:a16="http://schemas.microsoft.com/office/drawing/2014/main" id="{6B1A9A1F-8901-4DC4-9F01-2B88AB4E92BC}"/>
            </a:ext>
          </a:extLst>
        </xdr:cNvPr>
        <xdr:cNvSpPr/>
      </xdr:nvSpPr>
      <xdr:spPr>
        <a:xfrm>
          <a:off x="123825" y="30120166"/>
          <a:ext cx="13576477" cy="28680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31749</xdr:colOff>
      <xdr:row>140</xdr:row>
      <xdr:rowOff>16177</xdr:rowOff>
    </xdr:from>
    <xdr:to>
      <xdr:col>9</xdr:col>
      <xdr:colOff>700617</xdr:colOff>
      <xdr:row>142</xdr:row>
      <xdr:rowOff>114602</xdr:rowOff>
    </xdr:to>
    <xdr:sp macro="" textlink="">
      <xdr:nvSpPr>
        <xdr:cNvPr id="90" name="Rectángulo: esquinas redondeadas 89">
          <a:extLst>
            <a:ext uri="{FF2B5EF4-FFF2-40B4-BE49-F238E27FC236}">
              <a16:creationId xmlns:a16="http://schemas.microsoft.com/office/drawing/2014/main" id="{B9826584-5BDB-4BAE-B7A9-9493B64CAA82}"/>
            </a:ext>
          </a:extLst>
        </xdr:cNvPr>
        <xdr:cNvSpPr/>
      </xdr:nvSpPr>
      <xdr:spPr>
        <a:xfrm>
          <a:off x="158749" y="30517344"/>
          <a:ext cx="13584768" cy="564091"/>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PROMEDIO.SI (AVERAGEIF en inglés) </a:t>
          </a:r>
          <a:r>
            <a:rPr lang="en-US" sz="1000" b="0">
              <a:solidFill>
                <a:schemeClr val="tx1"/>
              </a:solidFill>
              <a:latin typeface="Montserrat" panose="00000500000000000000" pitchFamily="2" charset="0"/>
              <a:ea typeface="+mn-ea"/>
              <a:cs typeface="+mn-cs"/>
            </a:rPr>
            <a:t>es una función en Excel que calcula el promedio (la media aritmética) de todos los números en un rango que cumplen con un criterio especificado. Esta función es útil para encontrar el promedio condicional de un conjunto de datos, como el promedio de ventas de un producto específico o el promedio de valores que superan un cierto umbral.</a:t>
          </a:r>
        </a:p>
      </xdr:txBody>
    </xdr:sp>
    <xdr:clientData/>
  </xdr:twoCellAnchor>
  <xdr:twoCellAnchor editAs="oneCell">
    <xdr:from>
      <xdr:col>0</xdr:col>
      <xdr:colOff>123825</xdr:colOff>
      <xdr:row>143</xdr:row>
      <xdr:rowOff>8466</xdr:rowOff>
    </xdr:from>
    <xdr:to>
      <xdr:col>9</xdr:col>
      <xdr:colOff>651052</xdr:colOff>
      <xdr:row>144</xdr:row>
      <xdr:rowOff>71966</xdr:rowOff>
    </xdr:to>
    <xdr:sp macro="" textlink="">
      <xdr:nvSpPr>
        <xdr:cNvPr id="91" name="Rectángulo: esquinas redondeadas 90">
          <a:extLst>
            <a:ext uri="{FF2B5EF4-FFF2-40B4-BE49-F238E27FC236}">
              <a16:creationId xmlns:a16="http://schemas.microsoft.com/office/drawing/2014/main" id="{6D057237-76C8-4150-A375-FBC7AB49DFF4}"/>
            </a:ext>
          </a:extLst>
        </xdr:cNvPr>
        <xdr:cNvSpPr/>
      </xdr:nvSpPr>
      <xdr:spPr>
        <a:xfrm>
          <a:off x="123825" y="31208133"/>
          <a:ext cx="13576477" cy="28680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123825</xdr:colOff>
      <xdr:row>151</xdr:row>
      <xdr:rowOff>203200</xdr:rowOff>
    </xdr:from>
    <xdr:to>
      <xdr:col>9</xdr:col>
      <xdr:colOff>651052</xdr:colOff>
      <xdr:row>153</xdr:row>
      <xdr:rowOff>33865</xdr:rowOff>
    </xdr:to>
    <xdr:sp macro="" textlink="">
      <xdr:nvSpPr>
        <xdr:cNvPr id="92" name="Rectángulo: esquinas redondeadas 91">
          <a:extLst>
            <a:ext uri="{FF2B5EF4-FFF2-40B4-BE49-F238E27FC236}">
              <a16:creationId xmlns:a16="http://schemas.microsoft.com/office/drawing/2014/main" id="{A55477CD-C3FD-4FAB-86A3-F10D9F5AD039}"/>
            </a:ext>
          </a:extLst>
        </xdr:cNvPr>
        <xdr:cNvSpPr/>
      </xdr:nvSpPr>
      <xdr:spPr>
        <a:xfrm>
          <a:off x="123825" y="33265533"/>
          <a:ext cx="13576477" cy="28680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105683</xdr:colOff>
      <xdr:row>145</xdr:row>
      <xdr:rowOff>36135</xdr:rowOff>
    </xdr:from>
    <xdr:to>
      <xdr:col>8</xdr:col>
      <xdr:colOff>167370</xdr:colOff>
      <xdr:row>151</xdr:row>
      <xdr:rowOff>14816</xdr:rowOff>
    </xdr:to>
    <xdr:grpSp>
      <xdr:nvGrpSpPr>
        <xdr:cNvPr id="95" name="Grupo 94">
          <a:extLst>
            <a:ext uri="{FF2B5EF4-FFF2-40B4-BE49-F238E27FC236}">
              <a16:creationId xmlns:a16="http://schemas.microsoft.com/office/drawing/2014/main" id="{E15C5116-61ED-4BCA-A71A-03E368D4AF26}"/>
            </a:ext>
          </a:extLst>
        </xdr:cNvPr>
        <xdr:cNvGrpSpPr/>
      </xdr:nvGrpSpPr>
      <xdr:grpSpPr>
        <a:xfrm>
          <a:off x="216654" y="26937324"/>
          <a:ext cx="7607706" cy="1088390"/>
          <a:chOff x="276225" y="352425"/>
          <a:chExt cx="9029702" cy="1198618"/>
        </a:xfrm>
      </xdr:grpSpPr>
      <xdr:grpSp>
        <xdr:nvGrpSpPr>
          <xdr:cNvPr id="96" name="Grupo 95">
            <a:extLst>
              <a:ext uri="{FF2B5EF4-FFF2-40B4-BE49-F238E27FC236}">
                <a16:creationId xmlns:a16="http://schemas.microsoft.com/office/drawing/2014/main" id="{FE9BE197-1E86-D869-B2C8-FFAE6294B0B6}"/>
              </a:ext>
            </a:extLst>
          </xdr:cNvPr>
          <xdr:cNvGrpSpPr/>
        </xdr:nvGrpSpPr>
        <xdr:grpSpPr>
          <a:xfrm>
            <a:off x="276225" y="352425"/>
            <a:ext cx="9029702" cy="494122"/>
            <a:chOff x="142874" y="2266950"/>
            <a:chExt cx="9029702" cy="494122"/>
          </a:xfrm>
        </xdr:grpSpPr>
        <xdr:sp macro="" textlink="">
          <xdr:nvSpPr>
            <xdr:cNvPr id="104" name="Rectángulo: esquinas redondeadas 103">
              <a:extLst>
                <a:ext uri="{FF2B5EF4-FFF2-40B4-BE49-F238E27FC236}">
                  <a16:creationId xmlns:a16="http://schemas.microsoft.com/office/drawing/2014/main" id="{9CBB0A45-E6D9-CEFB-3F40-547F526971E0}"/>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5" name="Rectángulo: esquinas redondeadas 104">
              <a:extLst>
                <a:ext uri="{FF2B5EF4-FFF2-40B4-BE49-F238E27FC236}">
                  <a16:creationId xmlns:a16="http://schemas.microsoft.com/office/drawing/2014/main" id="{B75A8EA0-4CA6-1423-A7D2-141F9602F9A3}"/>
                </a:ext>
              </a:extLst>
            </xdr:cNvPr>
            <xdr:cNvSpPr/>
          </xdr:nvSpPr>
          <xdr:spPr>
            <a:xfrm>
              <a:off x="590548" y="2266950"/>
              <a:ext cx="1104901" cy="494122"/>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PROMEDIO.SI</a:t>
              </a:r>
            </a:p>
          </xdr:txBody>
        </xdr:sp>
        <xdr:sp macro="" textlink="">
          <xdr:nvSpPr>
            <xdr:cNvPr id="106" name="Rectángulo: esquinas redondeadas 105">
              <a:extLst>
                <a:ext uri="{FF2B5EF4-FFF2-40B4-BE49-F238E27FC236}">
                  <a16:creationId xmlns:a16="http://schemas.microsoft.com/office/drawing/2014/main" id="{708D9137-A9A2-055E-EC80-DEC454E389CB}"/>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7" name="Rectángulo: esquinas redondeadas 106">
              <a:extLst>
                <a:ext uri="{FF2B5EF4-FFF2-40B4-BE49-F238E27FC236}">
                  <a16:creationId xmlns:a16="http://schemas.microsoft.com/office/drawing/2014/main" id="{6E5A3705-1384-C507-06D6-7A78742A824C}"/>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108" name="Rectángulo: esquinas redondeadas 107">
              <a:extLst>
                <a:ext uri="{FF2B5EF4-FFF2-40B4-BE49-F238E27FC236}">
                  <a16:creationId xmlns:a16="http://schemas.microsoft.com/office/drawing/2014/main" id="{445F2392-566D-BA42-5D65-A9766C737E06}"/>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a:t>
              </a:r>
            </a:p>
          </xdr:txBody>
        </xdr:sp>
        <xdr:sp macro="" textlink="">
          <xdr:nvSpPr>
            <xdr:cNvPr id="109" name="Rectángulo: esquinas redondeadas 108">
              <a:extLst>
                <a:ext uri="{FF2B5EF4-FFF2-40B4-BE49-F238E27FC236}">
                  <a16:creationId xmlns:a16="http://schemas.microsoft.com/office/drawing/2014/main" id="{123CDF67-C080-2D87-7F5E-8D49CC3CB2EA}"/>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Promedio]</a:t>
              </a:r>
            </a:p>
          </xdr:txBody>
        </xdr:sp>
        <xdr:sp macro="" textlink="">
          <xdr:nvSpPr>
            <xdr:cNvPr id="110" name="Rectángulo: esquinas redondeadas 109">
              <a:extLst>
                <a:ext uri="{FF2B5EF4-FFF2-40B4-BE49-F238E27FC236}">
                  <a16:creationId xmlns:a16="http://schemas.microsoft.com/office/drawing/2014/main" id="{37E75F62-7308-0122-E776-D4322349D061}"/>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1" name="Rectángulo: esquinas redondeadas 110">
              <a:extLst>
                <a:ext uri="{FF2B5EF4-FFF2-40B4-BE49-F238E27FC236}">
                  <a16:creationId xmlns:a16="http://schemas.microsoft.com/office/drawing/2014/main" id="{AD490FA3-8580-F00D-299F-EEBAF89BA18D}"/>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2" name="Rectángulo: esquinas redondeadas 111">
              <a:extLst>
                <a:ext uri="{FF2B5EF4-FFF2-40B4-BE49-F238E27FC236}">
                  <a16:creationId xmlns:a16="http://schemas.microsoft.com/office/drawing/2014/main" id="{B80036D8-2DF7-9849-97B4-FB38258DF764}"/>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97" name="Grupo 96">
            <a:extLst>
              <a:ext uri="{FF2B5EF4-FFF2-40B4-BE49-F238E27FC236}">
                <a16:creationId xmlns:a16="http://schemas.microsoft.com/office/drawing/2014/main" id="{E33EFB28-2119-69A2-1259-A178E5B48E7C}"/>
              </a:ext>
            </a:extLst>
          </xdr:cNvPr>
          <xdr:cNvGrpSpPr/>
        </xdr:nvGrpSpPr>
        <xdr:grpSpPr>
          <a:xfrm>
            <a:off x="2324100" y="819150"/>
            <a:ext cx="6580575" cy="731893"/>
            <a:chOff x="2190749" y="2847975"/>
            <a:chExt cx="6580575" cy="731893"/>
          </a:xfrm>
        </xdr:grpSpPr>
        <xdr:sp macro="" textlink="">
          <xdr:nvSpPr>
            <xdr:cNvPr id="98" name="Rectángulo: esquinas redondeadas 97">
              <a:extLst>
                <a:ext uri="{FF2B5EF4-FFF2-40B4-BE49-F238E27FC236}">
                  <a16:creationId xmlns:a16="http://schemas.microsoft.com/office/drawing/2014/main" id="{5DFDF9DE-9852-3C4F-31F5-3B7E6AD1DA85}"/>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que se evaluará con el criterio.</a:t>
              </a:r>
            </a:p>
          </xdr:txBody>
        </xdr:sp>
        <xdr:pic>
          <xdr:nvPicPr>
            <xdr:cNvPr id="99" name="Gráfico 98" descr="Information con relleno sólido">
              <a:extLst>
                <a:ext uri="{FF2B5EF4-FFF2-40B4-BE49-F238E27FC236}">
                  <a16:creationId xmlns:a16="http://schemas.microsoft.com/office/drawing/2014/main" id="{5D8C1E3E-2E40-6F95-91D2-4968FCB396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100" name="Rectángulo: esquinas redondeadas 99">
              <a:extLst>
                <a:ext uri="{FF2B5EF4-FFF2-40B4-BE49-F238E27FC236}">
                  <a16:creationId xmlns:a16="http://schemas.microsoft.com/office/drawing/2014/main" id="{B380BB26-A4DC-E3C5-0152-429EDB9DA9F6}"/>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en forma de número, expresión, referencia de celda o texto que define qué celdas se incluirán en el cálculo del promedio. El criterio puede ser algo como "&gt;10", "&lt;=100", "Manzanas", etc.</a:t>
              </a:r>
            </a:p>
          </xdr:txBody>
        </xdr:sp>
        <xdr:pic>
          <xdr:nvPicPr>
            <xdr:cNvPr id="101" name="Gráfico 100" descr="Information con relleno sólido">
              <a:extLst>
                <a:ext uri="{FF2B5EF4-FFF2-40B4-BE49-F238E27FC236}">
                  <a16:creationId xmlns:a16="http://schemas.microsoft.com/office/drawing/2014/main" id="{E5DA22C7-57D2-CE90-DF06-D407768933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102" name="Rectángulo: esquinas redondeadas 101">
              <a:extLst>
                <a:ext uri="{FF2B5EF4-FFF2-40B4-BE49-F238E27FC236}">
                  <a16:creationId xmlns:a16="http://schemas.microsoft.com/office/drawing/2014/main" id="{60FEA03A-14C5-C120-9E96-1F3FE0605A84}"/>
                </a:ext>
              </a:extLst>
            </xdr:cNvPr>
            <xdr:cNvSpPr/>
          </xdr:nvSpPr>
          <xdr:spPr>
            <a:xfrm>
              <a:off x="6791324" y="2847975"/>
              <a:ext cx="1980000" cy="73189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de las cuales se calculará el promedio. Si se omite, Excel usa rango como el rango_promedio.</a:t>
              </a:r>
            </a:p>
          </xdr:txBody>
        </xdr:sp>
        <xdr:pic>
          <xdr:nvPicPr>
            <xdr:cNvPr id="103" name="Gráfico 102" descr="Information con relleno sólido">
              <a:extLst>
                <a:ext uri="{FF2B5EF4-FFF2-40B4-BE49-F238E27FC236}">
                  <a16:creationId xmlns:a16="http://schemas.microsoft.com/office/drawing/2014/main" id="{4F7F55A7-A5B3-57B4-C779-2D7A0BA28A8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28575</xdr:colOff>
      <xdr:row>209</xdr:row>
      <xdr:rowOff>0</xdr:rowOff>
    </xdr:from>
    <xdr:to>
      <xdr:col>9</xdr:col>
      <xdr:colOff>689152</xdr:colOff>
      <xdr:row>210</xdr:row>
      <xdr:rowOff>53972</xdr:rowOff>
    </xdr:to>
    <xdr:sp macro="" textlink="">
      <xdr:nvSpPr>
        <xdr:cNvPr id="113" name="Rectángulo: esquinas redondeadas 112">
          <a:extLst>
            <a:ext uri="{FF2B5EF4-FFF2-40B4-BE49-F238E27FC236}">
              <a16:creationId xmlns:a16="http://schemas.microsoft.com/office/drawing/2014/main" id="{607D9996-C5B0-4202-B625-39B824F865BB}"/>
            </a:ext>
          </a:extLst>
        </xdr:cNvPr>
        <xdr:cNvSpPr/>
      </xdr:nvSpPr>
      <xdr:spPr>
        <a:xfrm>
          <a:off x="155575" y="44471167"/>
          <a:ext cx="13582827" cy="28045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210</xdr:row>
      <xdr:rowOff>133350</xdr:rowOff>
    </xdr:from>
    <xdr:to>
      <xdr:col>9</xdr:col>
      <xdr:colOff>726017</xdr:colOff>
      <xdr:row>213</xdr:row>
      <xdr:rowOff>116417</xdr:rowOff>
    </xdr:to>
    <xdr:sp macro="" textlink="">
      <xdr:nvSpPr>
        <xdr:cNvPr id="114" name="Rectángulo: esquinas redondeadas 113">
          <a:extLst>
            <a:ext uri="{FF2B5EF4-FFF2-40B4-BE49-F238E27FC236}">
              <a16:creationId xmlns:a16="http://schemas.microsoft.com/office/drawing/2014/main" id="{0F91BD68-8B76-4693-9648-0045C6248272}"/>
            </a:ext>
          </a:extLst>
        </xdr:cNvPr>
        <xdr:cNvSpPr/>
      </xdr:nvSpPr>
      <xdr:spPr>
        <a:xfrm>
          <a:off x="187324" y="44837350"/>
          <a:ext cx="13587943" cy="68156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PROMEDIO.SI.CONJUNTO (AVERAGEIFS en inglés)</a:t>
          </a:r>
          <a:r>
            <a:rPr lang="en-US" sz="1000" b="0">
              <a:solidFill>
                <a:schemeClr val="tx1"/>
              </a:solidFill>
              <a:latin typeface="Montserrat" panose="00000500000000000000" pitchFamily="2" charset="0"/>
              <a:ea typeface="+mn-ea"/>
              <a:cs typeface="+mn-cs"/>
            </a:rPr>
            <a:t> es una función en Excel que calcula el promedio de todas las celdas que cumplen múltiples criterios en rangos especificados. A diferencia de PROMEDIO.SI, que solo permite un criterio, PROMEDIO.SI.CONJUNTO puede aplicar varios criterios a diferentes rangos, lo que la hace ideal para situaciones en las que necesitas calcular un promedio basado en varias condiciones.</a:t>
          </a:r>
        </a:p>
      </xdr:txBody>
    </xdr:sp>
    <xdr:clientData/>
  </xdr:twoCellAnchor>
  <xdr:twoCellAnchor editAs="oneCell">
    <xdr:from>
      <xdr:col>1</xdr:col>
      <xdr:colOff>14817</xdr:colOff>
      <xdr:row>214</xdr:row>
      <xdr:rowOff>37041</xdr:rowOff>
    </xdr:from>
    <xdr:to>
      <xdr:col>9</xdr:col>
      <xdr:colOff>681744</xdr:colOff>
      <xdr:row>215</xdr:row>
      <xdr:rowOff>73026</xdr:rowOff>
    </xdr:to>
    <xdr:sp macro="" textlink="">
      <xdr:nvSpPr>
        <xdr:cNvPr id="115" name="Rectángulo: esquinas redondeadas 114">
          <a:extLst>
            <a:ext uri="{FF2B5EF4-FFF2-40B4-BE49-F238E27FC236}">
              <a16:creationId xmlns:a16="http://schemas.microsoft.com/office/drawing/2014/main" id="{4D3A2A8B-51D3-4D6A-A698-DBF63D9E2369}"/>
            </a:ext>
          </a:extLst>
        </xdr:cNvPr>
        <xdr:cNvSpPr/>
      </xdr:nvSpPr>
      <xdr:spPr>
        <a:xfrm>
          <a:off x="141817" y="45672374"/>
          <a:ext cx="13586002" cy="26246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222</xdr:row>
      <xdr:rowOff>118533</xdr:rowOff>
    </xdr:from>
    <xdr:to>
      <xdr:col>9</xdr:col>
      <xdr:colOff>689152</xdr:colOff>
      <xdr:row>223</xdr:row>
      <xdr:rowOff>169332</xdr:rowOff>
    </xdr:to>
    <xdr:sp macro="" textlink="">
      <xdr:nvSpPr>
        <xdr:cNvPr id="116" name="Rectángulo: esquinas redondeadas 115">
          <a:extLst>
            <a:ext uri="{FF2B5EF4-FFF2-40B4-BE49-F238E27FC236}">
              <a16:creationId xmlns:a16="http://schemas.microsoft.com/office/drawing/2014/main" id="{59FD3DE3-22E6-4FE8-A4C6-F86EE0149C33}"/>
            </a:ext>
          </a:extLst>
        </xdr:cNvPr>
        <xdr:cNvSpPr/>
      </xdr:nvSpPr>
      <xdr:spPr>
        <a:xfrm>
          <a:off x="155575" y="47616533"/>
          <a:ext cx="13582827" cy="27728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31751</xdr:colOff>
      <xdr:row>241</xdr:row>
      <xdr:rowOff>99483</xdr:rowOff>
    </xdr:from>
    <xdr:to>
      <xdr:col>9</xdr:col>
      <xdr:colOff>721784</xdr:colOff>
      <xdr:row>242</xdr:row>
      <xdr:rowOff>150279</xdr:rowOff>
    </xdr:to>
    <xdr:sp macro="" textlink="">
      <xdr:nvSpPr>
        <xdr:cNvPr id="117" name="Rectángulo: esquinas redondeadas 116">
          <a:extLst>
            <a:ext uri="{FF2B5EF4-FFF2-40B4-BE49-F238E27FC236}">
              <a16:creationId xmlns:a16="http://schemas.microsoft.com/office/drawing/2014/main" id="{891B1ECF-94CE-45C7-A486-848A3EBDB31E}"/>
            </a:ext>
          </a:extLst>
        </xdr:cNvPr>
        <xdr:cNvSpPr/>
      </xdr:nvSpPr>
      <xdr:spPr>
        <a:xfrm>
          <a:off x="158751" y="50857150"/>
          <a:ext cx="13602758" cy="27728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21167</xdr:colOff>
      <xdr:row>216</xdr:row>
      <xdr:rowOff>34925</xdr:rowOff>
    </xdr:from>
    <xdr:to>
      <xdr:col>8</xdr:col>
      <xdr:colOff>2930830</xdr:colOff>
      <xdr:row>220</xdr:row>
      <xdr:rowOff>184020</xdr:rowOff>
    </xdr:to>
    <xdr:grpSp>
      <xdr:nvGrpSpPr>
        <xdr:cNvPr id="119" name="Grupo 118">
          <a:extLst>
            <a:ext uri="{FF2B5EF4-FFF2-40B4-BE49-F238E27FC236}">
              <a16:creationId xmlns:a16="http://schemas.microsoft.com/office/drawing/2014/main" id="{631A9C85-1C0B-43FF-883A-373C2F4CE4D4}"/>
            </a:ext>
          </a:extLst>
        </xdr:cNvPr>
        <xdr:cNvGrpSpPr/>
      </xdr:nvGrpSpPr>
      <xdr:grpSpPr>
        <a:xfrm>
          <a:off x="132138" y="40113906"/>
          <a:ext cx="10455682" cy="888900"/>
          <a:chOff x="257175" y="1764506"/>
          <a:chExt cx="11412313" cy="1109003"/>
        </a:xfrm>
      </xdr:grpSpPr>
      <xdr:grpSp>
        <xdr:nvGrpSpPr>
          <xdr:cNvPr id="120" name="Grupo 119">
            <a:extLst>
              <a:ext uri="{FF2B5EF4-FFF2-40B4-BE49-F238E27FC236}">
                <a16:creationId xmlns:a16="http://schemas.microsoft.com/office/drawing/2014/main" id="{AEAFC42D-9B33-1563-3A3D-ED6DD1EA5796}"/>
              </a:ext>
            </a:extLst>
          </xdr:cNvPr>
          <xdr:cNvGrpSpPr/>
        </xdr:nvGrpSpPr>
        <xdr:grpSpPr>
          <a:xfrm>
            <a:off x="257175" y="1764506"/>
            <a:ext cx="11412313" cy="525992"/>
            <a:chOff x="295275" y="923925"/>
            <a:chExt cx="11382377" cy="517992"/>
          </a:xfrm>
        </xdr:grpSpPr>
        <xdr:sp macro="" textlink="">
          <xdr:nvSpPr>
            <xdr:cNvPr id="129" name="Rectángulo: esquinas redondeadas 128">
              <a:extLst>
                <a:ext uri="{FF2B5EF4-FFF2-40B4-BE49-F238E27FC236}">
                  <a16:creationId xmlns:a16="http://schemas.microsoft.com/office/drawing/2014/main" id="{30ED28DF-0BA7-EFDD-4F5C-78A19EF4AAF5}"/>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0" name="Rectángulo: esquinas redondeadas 129">
              <a:extLst>
                <a:ext uri="{FF2B5EF4-FFF2-40B4-BE49-F238E27FC236}">
                  <a16:creationId xmlns:a16="http://schemas.microsoft.com/office/drawing/2014/main" id="{0DEA2DA4-E0C1-6535-1F85-D985B39C1119}"/>
                </a:ext>
              </a:extLst>
            </xdr:cNvPr>
            <xdr:cNvSpPr/>
          </xdr:nvSpPr>
          <xdr:spPr>
            <a:xfrm>
              <a:off x="742949" y="923925"/>
              <a:ext cx="1104901" cy="517992"/>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bg1"/>
                  </a:solidFill>
                  <a:latin typeface="Montserrat" panose="00000500000000000000" pitchFamily="2" charset="0"/>
                  <a:ea typeface="+mn-ea"/>
                  <a:cs typeface="+mn-cs"/>
                </a:rPr>
                <a:t>PROMEDIO.SI.CONJUNTO</a:t>
              </a:r>
            </a:p>
          </xdr:txBody>
        </xdr:sp>
        <xdr:sp macro="" textlink="">
          <xdr:nvSpPr>
            <xdr:cNvPr id="131" name="Rectángulo: esquinas redondeadas 130">
              <a:extLst>
                <a:ext uri="{FF2B5EF4-FFF2-40B4-BE49-F238E27FC236}">
                  <a16:creationId xmlns:a16="http://schemas.microsoft.com/office/drawing/2014/main" id="{3282684F-C0EB-702C-4D99-4D43EA577C95}"/>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2" name="Rectángulo: esquinas redondeadas 131">
              <a:extLst>
                <a:ext uri="{FF2B5EF4-FFF2-40B4-BE49-F238E27FC236}">
                  <a16:creationId xmlns:a16="http://schemas.microsoft.com/office/drawing/2014/main" id="{F946B39B-9409-1CF6-512B-AC2EC7964DA3}"/>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Promedio</a:t>
              </a:r>
            </a:p>
          </xdr:txBody>
        </xdr:sp>
        <xdr:sp macro="" textlink="">
          <xdr:nvSpPr>
            <xdr:cNvPr id="133" name="Rectángulo: esquinas redondeadas 132">
              <a:extLst>
                <a:ext uri="{FF2B5EF4-FFF2-40B4-BE49-F238E27FC236}">
                  <a16:creationId xmlns:a16="http://schemas.microsoft.com/office/drawing/2014/main" id="{F41418F0-639E-7843-6AC7-A96B56DFE6C5}"/>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 Criterio 1</a:t>
              </a:r>
            </a:p>
          </xdr:txBody>
        </xdr:sp>
        <xdr:sp macro="" textlink="">
          <xdr:nvSpPr>
            <xdr:cNvPr id="134" name="Rectángulo: esquinas redondeadas 133">
              <a:extLst>
                <a:ext uri="{FF2B5EF4-FFF2-40B4-BE49-F238E27FC236}">
                  <a16:creationId xmlns:a16="http://schemas.microsoft.com/office/drawing/2014/main" id="{B02B023E-4499-55CF-FF8E-E51DA1D2B6F9}"/>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Criterio 1</a:t>
              </a:r>
            </a:p>
          </xdr:txBody>
        </xdr:sp>
        <xdr:sp macro="" textlink="">
          <xdr:nvSpPr>
            <xdr:cNvPr id="135" name="Rectángulo: esquinas redondeadas 134">
              <a:extLst>
                <a:ext uri="{FF2B5EF4-FFF2-40B4-BE49-F238E27FC236}">
                  <a16:creationId xmlns:a16="http://schemas.microsoft.com/office/drawing/2014/main" id="{7D05A87C-9184-48C3-930F-5731A3A5BBD7}"/>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6" name="Rectángulo: esquinas redondeadas 135">
              <a:extLst>
                <a:ext uri="{FF2B5EF4-FFF2-40B4-BE49-F238E27FC236}">
                  <a16:creationId xmlns:a16="http://schemas.microsoft.com/office/drawing/2014/main" id="{D2E44C22-7BBC-60F4-6A1A-4526A11B480E}"/>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7" name="Rectángulo: esquinas redondeadas 136">
              <a:extLst>
                <a:ext uri="{FF2B5EF4-FFF2-40B4-BE49-F238E27FC236}">
                  <a16:creationId xmlns:a16="http://schemas.microsoft.com/office/drawing/2014/main" id="{66827196-5E72-13CF-FDEC-447AF70F86E5}"/>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8" name="Rectángulo: esquinas redondeadas 137">
              <a:extLst>
                <a:ext uri="{FF2B5EF4-FFF2-40B4-BE49-F238E27FC236}">
                  <a16:creationId xmlns:a16="http://schemas.microsoft.com/office/drawing/2014/main" id="{6970C804-B050-49BF-EA1C-EBAFDD8A503A}"/>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tx1"/>
                  </a:solidFill>
                  <a:latin typeface="Montserrat" panose="00000500000000000000" pitchFamily="2" charset="0"/>
                  <a:ea typeface="+mn-ea"/>
                  <a:cs typeface="+mn-cs"/>
                </a:rPr>
                <a:t>[Rango Criterio 2,</a:t>
              </a:r>
              <a:r>
                <a:rPr lang="en-US" sz="900" baseline="0">
                  <a:solidFill>
                    <a:schemeClr val="tx1"/>
                  </a:solidFill>
                  <a:latin typeface="Montserrat" panose="00000500000000000000" pitchFamily="2" charset="0"/>
                  <a:ea typeface="+mn-ea"/>
                  <a:cs typeface="+mn-cs"/>
                </a:rPr>
                <a:t> Criterio 2]...</a:t>
              </a:r>
              <a:endParaRPr lang="en-US" sz="900">
                <a:solidFill>
                  <a:schemeClr val="tx1"/>
                </a:solidFill>
                <a:latin typeface="Montserrat" panose="00000500000000000000" pitchFamily="2" charset="0"/>
                <a:ea typeface="+mn-ea"/>
                <a:cs typeface="+mn-cs"/>
              </a:endParaRPr>
            </a:p>
          </xdr:txBody>
        </xdr:sp>
        <xdr:sp macro="" textlink="">
          <xdr:nvSpPr>
            <xdr:cNvPr id="139" name="Rectángulo: esquinas redondeadas 138">
              <a:extLst>
                <a:ext uri="{FF2B5EF4-FFF2-40B4-BE49-F238E27FC236}">
                  <a16:creationId xmlns:a16="http://schemas.microsoft.com/office/drawing/2014/main" id="{7E65B907-5D08-6617-636D-E71B7F5D506B}"/>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21" name="Rectángulo: esquinas redondeadas 120">
            <a:extLst>
              <a:ext uri="{FF2B5EF4-FFF2-40B4-BE49-F238E27FC236}">
                <a16:creationId xmlns:a16="http://schemas.microsoft.com/office/drawing/2014/main" id="{942796A2-C6D5-703B-B222-338716A73FA2}"/>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que se promediarán.</a:t>
            </a:r>
          </a:p>
        </xdr:txBody>
      </xdr:sp>
      <xdr:pic>
        <xdr:nvPicPr>
          <xdr:cNvPr id="122" name="Gráfico 121" descr="Information con relleno sólido">
            <a:extLst>
              <a:ext uri="{FF2B5EF4-FFF2-40B4-BE49-F238E27FC236}">
                <a16:creationId xmlns:a16="http://schemas.microsoft.com/office/drawing/2014/main" id="{8444E193-FD70-28CC-9E5A-CB31CC7AE5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123" name="Rectángulo: esquinas redondeadas 122">
            <a:extLst>
              <a:ext uri="{FF2B5EF4-FFF2-40B4-BE49-F238E27FC236}">
                <a16:creationId xmlns:a16="http://schemas.microsoft.com/office/drawing/2014/main" id="{B1E96597-DF03-A275-DFF0-3C4E85176D9F}"/>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primer rango en el cual se evaluarán los criterios1.</a:t>
            </a:r>
          </a:p>
        </xdr:txBody>
      </xdr:sp>
      <xdr:pic>
        <xdr:nvPicPr>
          <xdr:cNvPr id="124" name="Gráfico 123" descr="Information con relleno sólido">
            <a:extLst>
              <a:ext uri="{FF2B5EF4-FFF2-40B4-BE49-F238E27FC236}">
                <a16:creationId xmlns:a16="http://schemas.microsoft.com/office/drawing/2014/main" id="{8BA8E8F3-50A9-A7D9-66FC-C2BDA70B3C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125" name="Rectángulo: esquinas redondeadas 124">
            <a:extLst>
              <a:ext uri="{FF2B5EF4-FFF2-40B4-BE49-F238E27FC236}">
                <a16:creationId xmlns:a16="http://schemas.microsoft.com/office/drawing/2014/main" id="{5DFBAD8C-DC48-1420-6D46-20284D30D740}"/>
              </a:ext>
            </a:extLst>
          </xdr:cNvPr>
          <xdr:cNvSpPr/>
        </xdr:nvSpPr>
        <xdr:spPr>
          <a:xfrm>
            <a:off x="69001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criterio que deben cumplir las celdas en rango_criterios1 para incluir la celda correspondiente en rango_promedio en el cálculo del promedio.</a:t>
            </a:r>
          </a:p>
        </xdr:txBody>
      </xdr:sp>
      <xdr:pic>
        <xdr:nvPicPr>
          <xdr:cNvPr id="126" name="Gráfico 125" descr="Information con relleno sólido">
            <a:extLst>
              <a:ext uri="{FF2B5EF4-FFF2-40B4-BE49-F238E27FC236}">
                <a16:creationId xmlns:a16="http://schemas.microsoft.com/office/drawing/2014/main" id="{96DF9519-D528-F188-9782-5299DF7AA70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sp macro="" textlink="">
        <xdr:nvSpPr>
          <xdr:cNvPr id="127" name="Rectángulo: esquinas redondeadas 126">
            <a:extLst>
              <a:ext uri="{FF2B5EF4-FFF2-40B4-BE49-F238E27FC236}">
                <a16:creationId xmlns:a16="http://schemas.microsoft.com/office/drawing/2014/main" id="{436D0171-AD1E-5CD3-053B-0E0B99C02C06}"/>
              </a:ext>
            </a:extLst>
          </xdr:cNvPr>
          <xdr:cNvSpPr/>
        </xdr:nvSpPr>
        <xdr:spPr>
          <a:xfrm>
            <a:off x="9338577" y="226150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Rangos adicionales y sus criterios correspondientes. PROMEDIO.SI.CONJUNTO puede aplicar varios criterios, permitiendo un análisis detallado y específico.</a:t>
            </a:r>
          </a:p>
        </xdr:txBody>
      </xdr:sp>
      <xdr:pic>
        <xdr:nvPicPr>
          <xdr:cNvPr id="128" name="Gráfico 127" descr="Information con relleno sólido">
            <a:extLst>
              <a:ext uri="{FF2B5EF4-FFF2-40B4-BE49-F238E27FC236}">
                <a16:creationId xmlns:a16="http://schemas.microsoft.com/office/drawing/2014/main" id="{D0128A46-BC6F-0960-3480-B4DF6849D65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76678" y="2271034"/>
            <a:ext cx="161925" cy="161925"/>
          </a:xfrm>
          <a:prstGeom prst="rect">
            <a:avLst/>
          </a:prstGeom>
        </xdr:spPr>
      </xdr:pic>
    </xdr:grpSp>
    <xdr:clientData/>
  </xdr:twoCellAnchor>
  <xdr:twoCellAnchor editAs="oneCell">
    <xdr:from>
      <xdr:col>0</xdr:col>
      <xdr:colOff>112182</xdr:colOff>
      <xdr:row>205</xdr:row>
      <xdr:rowOff>179917</xdr:rowOff>
    </xdr:from>
    <xdr:to>
      <xdr:col>9</xdr:col>
      <xdr:colOff>720725</xdr:colOff>
      <xdr:row>208</xdr:row>
      <xdr:rowOff>35983</xdr:rowOff>
    </xdr:to>
    <xdr:grpSp>
      <xdr:nvGrpSpPr>
        <xdr:cNvPr id="140" name="Grupo 139">
          <a:extLst>
            <a:ext uri="{FF2B5EF4-FFF2-40B4-BE49-F238E27FC236}">
              <a16:creationId xmlns:a16="http://schemas.microsoft.com/office/drawing/2014/main" id="{63D7EC60-95D8-4D36-B127-5938382F8D08}"/>
            </a:ext>
          </a:extLst>
        </xdr:cNvPr>
        <xdr:cNvGrpSpPr/>
      </xdr:nvGrpSpPr>
      <xdr:grpSpPr>
        <a:xfrm>
          <a:off x="112182" y="38224432"/>
          <a:ext cx="12186504" cy="410920"/>
          <a:chOff x="136524" y="104775"/>
          <a:chExt cx="13664143" cy="541867"/>
        </a:xfrm>
      </xdr:grpSpPr>
      <xdr:sp macro="" textlink="">
        <xdr:nvSpPr>
          <xdr:cNvPr id="141" name="Rectángulo: esquinas redondeadas 140">
            <a:extLst>
              <a:ext uri="{FF2B5EF4-FFF2-40B4-BE49-F238E27FC236}">
                <a16:creationId xmlns:a16="http://schemas.microsoft.com/office/drawing/2014/main" id="{DAAD16C8-4521-31AF-A277-DACEC3EC54E5}"/>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42" name="CuadroTexto 141">
            <a:extLst>
              <a:ext uri="{FF2B5EF4-FFF2-40B4-BE49-F238E27FC236}">
                <a16:creationId xmlns:a16="http://schemas.microsoft.com/office/drawing/2014/main" id="{AF4172DC-31CF-B81C-84F6-A24E3E31CB1C}"/>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PROMEDIO.SI.CONJUNTO</a:t>
            </a:r>
          </a:p>
        </xdr:txBody>
      </xdr:sp>
      <xdr:pic>
        <xdr:nvPicPr>
          <xdr:cNvPr id="143" name="Gráfico 142" descr="Search Inventory con relleno sólido">
            <a:extLst>
              <a:ext uri="{FF2B5EF4-FFF2-40B4-BE49-F238E27FC236}">
                <a16:creationId xmlns:a16="http://schemas.microsoft.com/office/drawing/2014/main" id="{1196CB69-AF2D-6D4C-CBA9-A3043DFBD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144" name="Gráfico 143" descr="Circle with left arrow con relleno sólido">
            <a:hlinkClick xmlns:r="http://schemas.openxmlformats.org/officeDocument/2006/relationships" r:id="rId3"/>
            <a:extLst>
              <a:ext uri="{FF2B5EF4-FFF2-40B4-BE49-F238E27FC236}">
                <a16:creationId xmlns:a16="http://schemas.microsoft.com/office/drawing/2014/main" id="{3C7DDE29-BCD3-0E5D-46B9-DF5FB353DFF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39751" y="127001"/>
            <a:ext cx="465667" cy="465667"/>
          </a:xfrm>
          <a:prstGeom prst="rect">
            <a:avLst/>
          </a:prstGeom>
        </xdr:spPr>
      </xdr:pic>
    </xdr:grpSp>
    <xdr:clientData/>
  </xdr:twoCellAnchor>
  <xdr:oneCellAnchor>
    <xdr:from>
      <xdr:col>1</xdr:col>
      <xdr:colOff>0</xdr:colOff>
      <xdr:row>245</xdr:row>
      <xdr:rowOff>52917</xdr:rowOff>
    </xdr:from>
    <xdr:ext cx="13672608" cy="568323"/>
    <xdr:sp macro="" textlink="">
      <xdr:nvSpPr>
        <xdr:cNvPr id="53" name="Rectángulo: esquinas redondeadas 52">
          <a:extLst>
            <a:ext uri="{FF2B5EF4-FFF2-40B4-BE49-F238E27FC236}">
              <a16:creationId xmlns:a16="http://schemas.microsoft.com/office/drawing/2014/main" id="{B454F2F8-8C3E-43C8-9319-3F27CE4FF1B9}"/>
            </a:ext>
          </a:extLst>
        </xdr:cNvPr>
        <xdr:cNvSpPr/>
      </xdr:nvSpPr>
      <xdr:spPr>
        <a:xfrm>
          <a:off x="127000" y="41264417"/>
          <a:ext cx="13672608" cy="568323"/>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el promedio de ventas de Toyota</a:t>
          </a:r>
          <a:r>
            <a:rPr lang="en-US" sz="1000" b="0" baseline="0">
              <a:solidFill>
                <a:schemeClr val="tx1"/>
              </a:solidFill>
              <a:latin typeface="Montserrat" panose="00000500000000000000" pitchFamily="2" charset="0"/>
              <a:ea typeface="+mn-ea"/>
              <a:cs typeface="+mn-cs"/>
            </a:rPr>
            <a:t> Silverado</a:t>
          </a:r>
          <a:endParaRPr lang="en-US" sz="1000" b="0">
            <a:solidFill>
              <a:schemeClr val="tx1"/>
            </a:solidFill>
            <a:latin typeface="Montserrat" panose="00000500000000000000" pitchFamily="2" charset="0"/>
            <a:ea typeface="+mn-ea"/>
            <a:cs typeface="+mn-cs"/>
          </a:endParaRPr>
        </a:p>
      </xdr:txBody>
    </xdr:sp>
    <xdr:clientData/>
  </xdr:oneCellAnchor>
</xdr:wsDr>
</file>

<file path=xl/drawings/drawing16.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12</xdr:col>
      <xdr:colOff>874359</xdr:colOff>
      <xdr:row>4</xdr:row>
      <xdr:rowOff>177800</xdr:rowOff>
    </xdr:to>
    <xdr:sp macro="" textlink="">
      <xdr:nvSpPr>
        <xdr:cNvPr id="2" name="Rectángulo: esquinas redondeadas 1">
          <a:extLst>
            <a:ext uri="{FF2B5EF4-FFF2-40B4-BE49-F238E27FC236}">
              <a16:creationId xmlns:a16="http://schemas.microsoft.com/office/drawing/2014/main" id="{D98AC862-A44F-4989-B07D-7EAAC88A0E36}"/>
            </a:ext>
          </a:extLst>
        </xdr:cNvPr>
        <xdr:cNvSpPr/>
      </xdr:nvSpPr>
      <xdr:spPr>
        <a:xfrm>
          <a:off x="123824" y="7620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21165</xdr:rowOff>
    </xdr:from>
    <xdr:to>
      <xdr:col>13</xdr:col>
      <xdr:colOff>3174</xdr:colOff>
      <xdr:row>8</xdr:row>
      <xdr:rowOff>16934</xdr:rowOff>
    </xdr:to>
    <xdr:sp macro="" textlink="">
      <xdr:nvSpPr>
        <xdr:cNvPr id="3" name="Rectángulo: esquinas redondeadas 2">
          <a:extLst>
            <a:ext uri="{FF2B5EF4-FFF2-40B4-BE49-F238E27FC236}">
              <a16:creationId xmlns:a16="http://schemas.microsoft.com/office/drawing/2014/main" id="{7AC6DFB5-A7A6-4257-919A-1B5E63C02AC1}"/>
            </a:ext>
          </a:extLst>
        </xdr:cNvPr>
        <xdr:cNvSpPr/>
      </xdr:nvSpPr>
      <xdr:spPr>
        <a:xfrm>
          <a:off x="155573" y="1068915"/>
          <a:ext cx="13043960" cy="61489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AHORA</a:t>
          </a:r>
        </a:p>
        <a:p>
          <a:pPr marL="0" indent="0" algn="l"/>
          <a:r>
            <a:rPr lang="en-US" sz="1000" b="0">
              <a:solidFill>
                <a:schemeClr val="tx1"/>
              </a:solidFill>
              <a:latin typeface="Montserrat" panose="00000500000000000000" pitchFamily="2" charset="0"/>
              <a:ea typeface="+mn-ea"/>
              <a:cs typeface="+mn-cs"/>
            </a:rPr>
            <a:t>No requiere argumentos. Simplemente se escribe AHORA() y Excel devuelve la fecha y hora actuales según el reloj del sistema.</a:t>
          </a:r>
        </a:p>
      </xdr:txBody>
    </xdr:sp>
    <xdr:clientData/>
  </xdr:twoCellAnchor>
  <xdr:twoCellAnchor editAs="absolute">
    <xdr:from>
      <xdr:col>1</xdr:col>
      <xdr:colOff>3174</xdr:colOff>
      <xdr:row>8</xdr:row>
      <xdr:rowOff>110067</xdr:rowOff>
    </xdr:from>
    <xdr:to>
      <xdr:col>12</xdr:col>
      <xdr:colOff>874359</xdr:colOff>
      <xdr:row>9</xdr:row>
      <xdr:rowOff>167217</xdr:rowOff>
    </xdr:to>
    <xdr:sp macro="" textlink="">
      <xdr:nvSpPr>
        <xdr:cNvPr id="4" name="Rectángulo: esquinas redondeadas 3">
          <a:extLst>
            <a:ext uri="{FF2B5EF4-FFF2-40B4-BE49-F238E27FC236}">
              <a16:creationId xmlns:a16="http://schemas.microsoft.com/office/drawing/2014/main" id="{45A68634-F031-4BAB-A553-77DEBF5579FB}"/>
            </a:ext>
          </a:extLst>
        </xdr:cNvPr>
        <xdr:cNvSpPr/>
      </xdr:nvSpPr>
      <xdr:spPr>
        <a:xfrm>
          <a:off x="126999" y="1783292"/>
          <a:ext cx="13035669"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xdr:from>
      <xdr:col>1</xdr:col>
      <xdr:colOff>9524</xdr:colOff>
      <xdr:row>0</xdr:row>
      <xdr:rowOff>104775</xdr:rowOff>
    </xdr:from>
    <xdr:to>
      <xdr:col>13</xdr:col>
      <xdr:colOff>264584</xdr:colOff>
      <xdr:row>2</xdr:row>
      <xdr:rowOff>180975</xdr:rowOff>
    </xdr:to>
    <xdr:grpSp>
      <xdr:nvGrpSpPr>
        <xdr:cNvPr id="5" name="Grupo 4">
          <a:extLst>
            <a:ext uri="{FF2B5EF4-FFF2-40B4-BE49-F238E27FC236}">
              <a16:creationId xmlns:a16="http://schemas.microsoft.com/office/drawing/2014/main" id="{4D1D86D5-B540-4041-86B0-1E9CFC320EA6}"/>
            </a:ext>
          </a:extLst>
        </xdr:cNvPr>
        <xdr:cNvGrpSpPr/>
      </xdr:nvGrpSpPr>
      <xdr:grpSpPr>
        <a:xfrm>
          <a:off x="125941" y="104775"/>
          <a:ext cx="12351810" cy="436033"/>
          <a:chOff x="136524" y="104775"/>
          <a:chExt cx="13664143" cy="541867"/>
        </a:xfrm>
      </xdr:grpSpPr>
      <xdr:sp macro="" textlink="">
        <xdr:nvSpPr>
          <xdr:cNvPr id="6" name="Rectángulo: esquinas redondeadas 5">
            <a:extLst>
              <a:ext uri="{FF2B5EF4-FFF2-40B4-BE49-F238E27FC236}">
                <a16:creationId xmlns:a16="http://schemas.microsoft.com/office/drawing/2014/main" id="{512891BA-CF17-6B59-FD17-B398765DD0DC}"/>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7" name="CuadroTexto 6">
            <a:extLst>
              <a:ext uri="{FF2B5EF4-FFF2-40B4-BE49-F238E27FC236}">
                <a16:creationId xmlns:a16="http://schemas.microsoft.com/office/drawing/2014/main" id="{7FF278CF-AE74-1782-F229-F059006A25B8}"/>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AHORA, HOY, DIA, MES, AÑO</a:t>
            </a:r>
          </a:p>
        </xdr:txBody>
      </xdr:sp>
      <xdr:pic>
        <xdr:nvPicPr>
          <xdr:cNvPr id="8" name="Gráfico 7" descr="Circle with left arrow con relleno sólido">
            <a:hlinkClick xmlns:r="http://schemas.openxmlformats.org/officeDocument/2006/relationships" r:id="rId1"/>
            <a:extLst>
              <a:ext uri="{FF2B5EF4-FFF2-40B4-BE49-F238E27FC236}">
                <a16:creationId xmlns:a16="http://schemas.microsoft.com/office/drawing/2014/main" id="{8475814B-9BE8-416F-457B-F39CBAA1A0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absolute">
    <xdr:from>
      <xdr:col>1</xdr:col>
      <xdr:colOff>16934</xdr:colOff>
      <xdr:row>14</xdr:row>
      <xdr:rowOff>95251</xdr:rowOff>
    </xdr:from>
    <xdr:to>
      <xdr:col>13</xdr:col>
      <xdr:colOff>2294</xdr:colOff>
      <xdr:row>15</xdr:row>
      <xdr:rowOff>167217</xdr:rowOff>
    </xdr:to>
    <xdr:sp macro="" textlink="">
      <xdr:nvSpPr>
        <xdr:cNvPr id="9" name="Rectángulo: esquinas redondeadas 8">
          <a:extLst>
            <a:ext uri="{FF2B5EF4-FFF2-40B4-BE49-F238E27FC236}">
              <a16:creationId xmlns:a16="http://schemas.microsoft.com/office/drawing/2014/main" id="{C1EBA0B8-66E1-4DBD-A4CA-F21305B5BCFA}"/>
            </a:ext>
          </a:extLst>
        </xdr:cNvPr>
        <xdr:cNvSpPr/>
      </xdr:nvSpPr>
      <xdr:spPr>
        <a:xfrm>
          <a:off x="143934" y="3354918"/>
          <a:ext cx="13563777" cy="30479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39158</xdr:colOff>
      <xdr:row>16</xdr:row>
      <xdr:rowOff>1055</xdr:rowOff>
    </xdr:from>
    <xdr:to>
      <xdr:col>13</xdr:col>
      <xdr:colOff>1</xdr:colOff>
      <xdr:row>19</xdr:row>
      <xdr:rowOff>148166</xdr:rowOff>
    </xdr:to>
    <xdr:sp macro="" textlink="">
      <xdr:nvSpPr>
        <xdr:cNvPr id="10" name="Rectángulo: esquinas redondeadas 9">
          <a:extLst>
            <a:ext uri="{FF2B5EF4-FFF2-40B4-BE49-F238E27FC236}">
              <a16:creationId xmlns:a16="http://schemas.microsoft.com/office/drawing/2014/main" id="{B5251D95-5E76-4AF3-9E32-A7E84C8E7BFA}"/>
            </a:ext>
          </a:extLst>
        </xdr:cNvPr>
        <xdr:cNvSpPr/>
      </xdr:nvSpPr>
      <xdr:spPr>
        <a:xfrm>
          <a:off x="166158" y="3711572"/>
          <a:ext cx="13581593" cy="86042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HOY</a:t>
          </a:r>
        </a:p>
        <a:p>
          <a:pPr marL="0" indent="0" algn="l"/>
          <a:r>
            <a:rPr lang="en-US" sz="1000" b="0">
              <a:solidFill>
                <a:schemeClr val="tx1"/>
              </a:solidFill>
              <a:latin typeface="Montserrat" panose="00000500000000000000" pitchFamily="2" charset="0"/>
              <a:ea typeface="+mn-ea"/>
              <a:cs typeface="+mn-cs"/>
            </a:rPr>
            <a:t>No requiere argumentos.Es una función en Excel que devuelve la fecha actual del sistema. A diferencia de AHORA, que incluye tanto la fecha como la hora, HOY solo proporciona la fecha. Se actualiza cada vez que se abre el libro de Excel o se recalcula la hoja de cálculo. Esta función es útil para realizar cálculos basados en la fecha actual, como calcular la edad a partir de una fecha de nacimiento o determinar el número de días hasta una fecha futura.</a:t>
          </a:r>
        </a:p>
      </xdr:txBody>
    </xdr:sp>
    <xdr:clientData/>
  </xdr:twoCellAnchor>
  <xdr:twoCellAnchor editAs="absolute">
    <xdr:from>
      <xdr:col>1</xdr:col>
      <xdr:colOff>21167</xdr:colOff>
      <xdr:row>20</xdr:row>
      <xdr:rowOff>23283</xdr:rowOff>
    </xdr:from>
    <xdr:to>
      <xdr:col>12</xdr:col>
      <xdr:colOff>873302</xdr:colOff>
      <xdr:row>21</xdr:row>
      <xdr:rowOff>117476</xdr:rowOff>
    </xdr:to>
    <xdr:sp macro="" textlink="">
      <xdr:nvSpPr>
        <xdr:cNvPr id="11" name="Rectángulo: esquinas redondeadas 10">
          <a:extLst>
            <a:ext uri="{FF2B5EF4-FFF2-40B4-BE49-F238E27FC236}">
              <a16:creationId xmlns:a16="http://schemas.microsoft.com/office/drawing/2014/main" id="{958077C2-154E-48C3-B15B-2196E23C720D}"/>
            </a:ext>
          </a:extLst>
        </xdr:cNvPr>
        <xdr:cNvSpPr/>
      </xdr:nvSpPr>
      <xdr:spPr>
        <a:xfrm>
          <a:off x="148167" y="4679950"/>
          <a:ext cx="13573302" cy="32702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absolute">
    <xdr:from>
      <xdr:col>1</xdr:col>
      <xdr:colOff>16935</xdr:colOff>
      <xdr:row>26</xdr:row>
      <xdr:rowOff>19049</xdr:rowOff>
    </xdr:from>
    <xdr:to>
      <xdr:col>13</xdr:col>
      <xdr:colOff>2295</xdr:colOff>
      <xdr:row>27</xdr:row>
      <xdr:rowOff>97365</xdr:rowOff>
    </xdr:to>
    <xdr:sp macro="" textlink="">
      <xdr:nvSpPr>
        <xdr:cNvPr id="12" name="Rectángulo: esquinas redondeadas 11">
          <a:extLst>
            <a:ext uri="{FF2B5EF4-FFF2-40B4-BE49-F238E27FC236}">
              <a16:creationId xmlns:a16="http://schemas.microsoft.com/office/drawing/2014/main" id="{AC42C3BE-77ED-4F21-A3D9-2D2399C2F2FB}"/>
            </a:ext>
          </a:extLst>
        </xdr:cNvPr>
        <xdr:cNvSpPr/>
      </xdr:nvSpPr>
      <xdr:spPr>
        <a:xfrm>
          <a:off x="143935" y="6072716"/>
          <a:ext cx="13563777" cy="31114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39159</xdr:colOff>
      <xdr:row>27</xdr:row>
      <xdr:rowOff>136521</xdr:rowOff>
    </xdr:from>
    <xdr:to>
      <xdr:col>13</xdr:col>
      <xdr:colOff>2</xdr:colOff>
      <xdr:row>30</xdr:row>
      <xdr:rowOff>148165</xdr:rowOff>
    </xdr:to>
    <xdr:sp macro="" textlink="">
      <xdr:nvSpPr>
        <xdr:cNvPr id="13" name="Rectángulo: esquinas redondeadas 12">
          <a:extLst>
            <a:ext uri="{FF2B5EF4-FFF2-40B4-BE49-F238E27FC236}">
              <a16:creationId xmlns:a16="http://schemas.microsoft.com/office/drawing/2014/main" id="{B7158EBA-12B0-4FA2-B154-CF83F91AB441}"/>
            </a:ext>
          </a:extLst>
        </xdr:cNvPr>
        <xdr:cNvSpPr/>
      </xdr:nvSpPr>
      <xdr:spPr>
        <a:xfrm>
          <a:off x="166159" y="6423021"/>
          <a:ext cx="13581593" cy="71014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DIA (DAY en inglés) </a:t>
          </a:r>
          <a:r>
            <a:rPr lang="en-US" sz="1000" b="0">
              <a:solidFill>
                <a:schemeClr val="tx1"/>
              </a:solidFill>
              <a:latin typeface="Montserrat" panose="00000500000000000000" pitchFamily="2" charset="0"/>
              <a:ea typeface="+mn-ea"/>
              <a:cs typeface="+mn-cs"/>
            </a:rPr>
            <a:t>es una función en Excel que devuelve el día del mes de una fecha especificada. El resultado es un número del 1 al 31 que representa el día del mes de la fecha dada. Esta función es útil para extraer el componente del día de una fecha, lo cual puede ser necesario para cálculos de fechas, análisis de datos por día del mes, o simplemente para desglosar una fecha en sus componentes.</a:t>
          </a:r>
        </a:p>
      </xdr:txBody>
    </xdr:sp>
    <xdr:clientData/>
  </xdr:twoCellAnchor>
  <xdr:twoCellAnchor editAs="absolute">
    <xdr:from>
      <xdr:col>1</xdr:col>
      <xdr:colOff>16935</xdr:colOff>
      <xdr:row>31</xdr:row>
      <xdr:rowOff>15520</xdr:rowOff>
    </xdr:from>
    <xdr:to>
      <xdr:col>13</xdr:col>
      <xdr:colOff>2295</xdr:colOff>
      <xdr:row>32</xdr:row>
      <xdr:rowOff>99482</xdr:rowOff>
    </xdr:to>
    <xdr:sp macro="" textlink="">
      <xdr:nvSpPr>
        <xdr:cNvPr id="14" name="Rectángulo: esquinas redondeadas 13">
          <a:extLst>
            <a:ext uri="{FF2B5EF4-FFF2-40B4-BE49-F238E27FC236}">
              <a16:creationId xmlns:a16="http://schemas.microsoft.com/office/drawing/2014/main" id="{9D6404C7-A85A-4BBD-B927-AB3A0436969B}"/>
            </a:ext>
          </a:extLst>
        </xdr:cNvPr>
        <xdr:cNvSpPr/>
      </xdr:nvSpPr>
      <xdr:spPr>
        <a:xfrm>
          <a:off x="137585" y="7216773"/>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158750</xdr:colOff>
      <xdr:row>0</xdr:row>
      <xdr:rowOff>116416</xdr:rowOff>
    </xdr:from>
    <xdr:to>
      <xdr:col>1</xdr:col>
      <xdr:colOff>589492</xdr:colOff>
      <xdr:row>2</xdr:row>
      <xdr:rowOff>130175</xdr:rowOff>
    </xdr:to>
    <xdr:pic>
      <xdr:nvPicPr>
        <xdr:cNvPr id="24" name="Gráfico 23" descr="Bad Inventory con relleno sólido">
          <a:extLst>
            <a:ext uri="{FF2B5EF4-FFF2-40B4-BE49-F238E27FC236}">
              <a16:creationId xmlns:a16="http://schemas.microsoft.com/office/drawing/2014/main" id="{853027C3-784C-499D-9DE4-95B0C8F3243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85750" y="116416"/>
          <a:ext cx="427567" cy="423334"/>
        </a:xfrm>
        <a:prstGeom prst="rect">
          <a:avLst/>
        </a:prstGeom>
      </xdr:spPr>
    </xdr:pic>
    <xdr:clientData/>
  </xdr:twoCellAnchor>
  <xdr:twoCellAnchor editAs="oneCell">
    <xdr:from>
      <xdr:col>1</xdr:col>
      <xdr:colOff>10584</xdr:colOff>
      <xdr:row>33</xdr:row>
      <xdr:rowOff>52917</xdr:rowOff>
    </xdr:from>
    <xdr:to>
      <xdr:col>4</xdr:col>
      <xdr:colOff>780297</xdr:colOff>
      <xdr:row>38</xdr:row>
      <xdr:rowOff>178857</xdr:rowOff>
    </xdr:to>
    <xdr:grpSp>
      <xdr:nvGrpSpPr>
        <xdr:cNvPr id="25" name="Grupo 24">
          <a:extLst>
            <a:ext uri="{FF2B5EF4-FFF2-40B4-BE49-F238E27FC236}">
              <a16:creationId xmlns:a16="http://schemas.microsoft.com/office/drawing/2014/main" id="{EEB88309-5CB5-4F34-B52C-6EE8D3F03F71}"/>
            </a:ext>
          </a:extLst>
        </xdr:cNvPr>
        <xdr:cNvGrpSpPr/>
      </xdr:nvGrpSpPr>
      <xdr:grpSpPr>
        <a:xfrm>
          <a:off x="127001" y="5990167"/>
          <a:ext cx="4018796" cy="1025523"/>
          <a:chOff x="243568" y="5018653"/>
          <a:chExt cx="4440013" cy="1312332"/>
        </a:xfrm>
      </xdr:grpSpPr>
      <xdr:grpSp>
        <xdr:nvGrpSpPr>
          <xdr:cNvPr id="26" name="Grupo 25">
            <a:extLst>
              <a:ext uri="{FF2B5EF4-FFF2-40B4-BE49-F238E27FC236}">
                <a16:creationId xmlns:a16="http://schemas.microsoft.com/office/drawing/2014/main" id="{AF0F8C8A-8BE8-FE0E-D6EC-C026A4CB17FE}"/>
              </a:ext>
            </a:extLst>
          </xdr:cNvPr>
          <xdr:cNvGrpSpPr/>
        </xdr:nvGrpSpPr>
        <xdr:grpSpPr>
          <a:xfrm>
            <a:off x="243568" y="5018653"/>
            <a:ext cx="4440013" cy="355148"/>
            <a:chOff x="276225" y="2009775"/>
            <a:chExt cx="4429127" cy="352426"/>
          </a:xfrm>
        </xdr:grpSpPr>
        <xdr:sp macro="" textlink="">
          <xdr:nvSpPr>
            <xdr:cNvPr id="29" name="Rectángulo: esquinas redondeadas 28">
              <a:extLst>
                <a:ext uri="{FF2B5EF4-FFF2-40B4-BE49-F238E27FC236}">
                  <a16:creationId xmlns:a16="http://schemas.microsoft.com/office/drawing/2014/main" id="{C313E8C2-568F-7501-56DF-CDBCD74BEF43}"/>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0" name="Rectángulo: esquinas redondeadas 29">
              <a:extLst>
                <a:ext uri="{FF2B5EF4-FFF2-40B4-BE49-F238E27FC236}">
                  <a16:creationId xmlns:a16="http://schemas.microsoft.com/office/drawing/2014/main" id="{66A80961-5D1B-991E-8915-A9AC5E39FE9D}"/>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DIA</a:t>
              </a:r>
            </a:p>
          </xdr:txBody>
        </xdr:sp>
        <xdr:sp macro="" textlink="">
          <xdr:nvSpPr>
            <xdr:cNvPr id="31" name="Rectángulo: esquinas redondeadas 30">
              <a:extLst>
                <a:ext uri="{FF2B5EF4-FFF2-40B4-BE49-F238E27FC236}">
                  <a16:creationId xmlns:a16="http://schemas.microsoft.com/office/drawing/2014/main" id="{DE617B80-7024-2788-7A5F-A6A3E1FDEC9E}"/>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2" name="Rectángulo: esquinas redondeadas 31">
              <a:extLst>
                <a:ext uri="{FF2B5EF4-FFF2-40B4-BE49-F238E27FC236}">
                  <a16:creationId xmlns:a16="http://schemas.microsoft.com/office/drawing/2014/main" id="{0773BE76-4EF8-710D-A375-05360FEA933C}"/>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p>
          </xdr:txBody>
        </xdr:sp>
        <xdr:sp macro="" textlink="">
          <xdr:nvSpPr>
            <xdr:cNvPr id="33" name="Rectángulo: esquinas redondeadas 32">
              <a:extLst>
                <a:ext uri="{FF2B5EF4-FFF2-40B4-BE49-F238E27FC236}">
                  <a16:creationId xmlns:a16="http://schemas.microsoft.com/office/drawing/2014/main" id="{90780643-74D2-28E8-F3D6-05755F541C6F}"/>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27" name="Rectángulo: esquinas redondeadas 26">
            <a:extLst>
              <a:ext uri="{FF2B5EF4-FFF2-40B4-BE49-F238E27FC236}">
                <a16:creationId xmlns:a16="http://schemas.microsoft.com/office/drawing/2014/main" id="{C9175FF8-B465-E072-1370-AB64BCDADCF6}"/>
              </a:ext>
            </a:extLst>
          </xdr:cNvPr>
          <xdr:cNvSpPr/>
        </xdr:nvSpPr>
        <xdr:spPr>
          <a:xfrm>
            <a:off x="2311854" y="5542188"/>
            <a:ext cx="1980000" cy="788797"/>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la cual quieres extraer el día. Puede ser una fecha introducida directamente en la función, una referencia a una celda que contiene una fecha, o el resultado de otra función de fecha.</a:t>
            </a:r>
          </a:p>
        </xdr:txBody>
      </xdr:sp>
      <xdr:pic>
        <xdr:nvPicPr>
          <xdr:cNvPr id="28" name="Gráfico 27" descr="Information con relleno sólido">
            <a:extLst>
              <a:ext uri="{FF2B5EF4-FFF2-40B4-BE49-F238E27FC236}">
                <a16:creationId xmlns:a16="http://schemas.microsoft.com/office/drawing/2014/main" id="{562F90D8-1FC9-C211-02F3-815B77EAF95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49955" y="5570764"/>
            <a:ext cx="161925" cy="161925"/>
          </a:xfrm>
          <a:prstGeom prst="rect">
            <a:avLst/>
          </a:prstGeom>
        </xdr:spPr>
      </xdr:pic>
    </xdr:grpSp>
    <xdr:clientData/>
  </xdr:twoCellAnchor>
  <xdr:twoCellAnchor editAs="absolute">
    <xdr:from>
      <xdr:col>0</xdr:col>
      <xdr:colOff>110069</xdr:colOff>
      <xdr:row>39</xdr:row>
      <xdr:rowOff>56090</xdr:rowOff>
    </xdr:from>
    <xdr:to>
      <xdr:col>12</xdr:col>
      <xdr:colOff>873304</xdr:colOff>
      <xdr:row>40</xdr:row>
      <xdr:rowOff>156633</xdr:rowOff>
    </xdr:to>
    <xdr:sp macro="" textlink="">
      <xdr:nvSpPr>
        <xdr:cNvPr id="34" name="Rectángulo: esquinas redondeadas 33">
          <a:extLst>
            <a:ext uri="{FF2B5EF4-FFF2-40B4-BE49-F238E27FC236}">
              <a16:creationId xmlns:a16="http://schemas.microsoft.com/office/drawing/2014/main" id="{42B0838C-8576-43F6-861F-EB38FBC360AE}"/>
            </a:ext>
          </a:extLst>
        </xdr:cNvPr>
        <xdr:cNvSpPr/>
      </xdr:nvSpPr>
      <xdr:spPr>
        <a:xfrm>
          <a:off x="110069" y="9136590"/>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6351</xdr:colOff>
      <xdr:row>60</xdr:row>
      <xdr:rowOff>0</xdr:rowOff>
    </xdr:from>
    <xdr:to>
      <xdr:col>12</xdr:col>
      <xdr:colOff>874361</xdr:colOff>
      <xdr:row>61</xdr:row>
      <xdr:rowOff>78316</xdr:rowOff>
    </xdr:to>
    <xdr:sp macro="" textlink="">
      <xdr:nvSpPr>
        <xdr:cNvPr id="49" name="Rectángulo: esquinas redondeadas 48">
          <a:extLst>
            <a:ext uri="{FF2B5EF4-FFF2-40B4-BE49-F238E27FC236}">
              <a16:creationId xmlns:a16="http://schemas.microsoft.com/office/drawing/2014/main" id="{ECAE6CAB-D136-465C-BE15-D6F9726B2122}"/>
            </a:ext>
          </a:extLst>
        </xdr:cNvPr>
        <xdr:cNvSpPr/>
      </xdr:nvSpPr>
      <xdr:spPr>
        <a:xfrm>
          <a:off x="133351" y="12107333"/>
          <a:ext cx="13563777" cy="31114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28575</xdr:colOff>
      <xdr:row>61</xdr:row>
      <xdr:rowOff>117471</xdr:rowOff>
    </xdr:from>
    <xdr:to>
      <xdr:col>12</xdr:col>
      <xdr:colOff>873126</xdr:colOff>
      <xdr:row>64</xdr:row>
      <xdr:rowOff>129115</xdr:rowOff>
    </xdr:to>
    <xdr:sp macro="" textlink="">
      <xdr:nvSpPr>
        <xdr:cNvPr id="50" name="Rectángulo: esquinas redondeadas 49">
          <a:extLst>
            <a:ext uri="{FF2B5EF4-FFF2-40B4-BE49-F238E27FC236}">
              <a16:creationId xmlns:a16="http://schemas.microsoft.com/office/drawing/2014/main" id="{EB9DA9D5-B798-499D-8FAC-1BEEE9261DD2}"/>
            </a:ext>
          </a:extLst>
        </xdr:cNvPr>
        <xdr:cNvSpPr/>
      </xdr:nvSpPr>
      <xdr:spPr>
        <a:xfrm>
          <a:off x="155575" y="12457638"/>
          <a:ext cx="13581593" cy="71014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MES (MONTH en inglés) </a:t>
          </a:r>
          <a:r>
            <a:rPr lang="en-US" sz="1000" b="0">
              <a:solidFill>
                <a:schemeClr val="tx1"/>
              </a:solidFill>
              <a:latin typeface="Montserrat" panose="00000500000000000000" pitchFamily="2" charset="0"/>
              <a:ea typeface="+mn-ea"/>
              <a:cs typeface="+mn-cs"/>
            </a:rPr>
            <a:t>es una función en Excel que devuelve el mes de una fecha especificada. El resultado es un número del 1 al 12, donde 1 representa enero y 12 representa diciembre. Esta función es útil para extraer el componente del mes de una fecha, lo que permite realizar análisis por mes, clasificar o filtrar datos por mes, o realizar cálculos que dependen del mes de una fecha dada.</a:t>
          </a:r>
        </a:p>
      </xdr:txBody>
    </xdr:sp>
    <xdr:clientData/>
  </xdr:twoCellAnchor>
  <xdr:twoCellAnchor editAs="oneCell">
    <xdr:from>
      <xdr:col>1</xdr:col>
      <xdr:colOff>1</xdr:colOff>
      <xdr:row>64</xdr:row>
      <xdr:rowOff>212723</xdr:rowOff>
    </xdr:from>
    <xdr:to>
      <xdr:col>12</xdr:col>
      <xdr:colOff>874361</xdr:colOff>
      <xdr:row>66</xdr:row>
      <xdr:rowOff>80432</xdr:rowOff>
    </xdr:to>
    <xdr:sp macro="" textlink="">
      <xdr:nvSpPr>
        <xdr:cNvPr id="51" name="Rectángulo: esquinas redondeadas 50">
          <a:extLst>
            <a:ext uri="{FF2B5EF4-FFF2-40B4-BE49-F238E27FC236}">
              <a16:creationId xmlns:a16="http://schemas.microsoft.com/office/drawing/2014/main" id="{92F07C00-205F-4B8F-AE0B-B0E15D416C6A}"/>
            </a:ext>
          </a:extLst>
        </xdr:cNvPr>
        <xdr:cNvSpPr/>
      </xdr:nvSpPr>
      <xdr:spPr>
        <a:xfrm>
          <a:off x="127001" y="13251390"/>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0</xdr:colOff>
      <xdr:row>67</xdr:row>
      <xdr:rowOff>33867</xdr:rowOff>
    </xdr:from>
    <xdr:to>
      <xdr:col>4</xdr:col>
      <xdr:colOff>779238</xdr:colOff>
      <xdr:row>72</xdr:row>
      <xdr:rowOff>112182</xdr:rowOff>
    </xdr:to>
    <xdr:grpSp>
      <xdr:nvGrpSpPr>
        <xdr:cNvPr id="52" name="Grupo 51">
          <a:extLst>
            <a:ext uri="{FF2B5EF4-FFF2-40B4-BE49-F238E27FC236}">
              <a16:creationId xmlns:a16="http://schemas.microsoft.com/office/drawing/2014/main" id="{4EBE2CE8-14A4-4602-A596-26BFE486DD0B}"/>
            </a:ext>
          </a:extLst>
        </xdr:cNvPr>
        <xdr:cNvGrpSpPr/>
      </xdr:nvGrpSpPr>
      <xdr:grpSpPr>
        <a:xfrm>
          <a:off x="116417" y="12109450"/>
          <a:ext cx="4028321" cy="977899"/>
          <a:chOff x="243568" y="5018653"/>
          <a:chExt cx="4440013" cy="1236132"/>
        </a:xfrm>
      </xdr:grpSpPr>
      <xdr:grpSp>
        <xdr:nvGrpSpPr>
          <xdr:cNvPr id="53" name="Grupo 52">
            <a:extLst>
              <a:ext uri="{FF2B5EF4-FFF2-40B4-BE49-F238E27FC236}">
                <a16:creationId xmlns:a16="http://schemas.microsoft.com/office/drawing/2014/main" id="{D58B8D61-E3A1-FB79-D72F-1584E1CB39A2}"/>
              </a:ext>
            </a:extLst>
          </xdr:cNvPr>
          <xdr:cNvGrpSpPr/>
        </xdr:nvGrpSpPr>
        <xdr:grpSpPr>
          <a:xfrm>
            <a:off x="243568" y="5018653"/>
            <a:ext cx="4440013" cy="355148"/>
            <a:chOff x="276225" y="2009775"/>
            <a:chExt cx="4429127" cy="352426"/>
          </a:xfrm>
        </xdr:grpSpPr>
        <xdr:sp macro="" textlink="">
          <xdr:nvSpPr>
            <xdr:cNvPr id="56" name="Rectángulo: esquinas redondeadas 55">
              <a:extLst>
                <a:ext uri="{FF2B5EF4-FFF2-40B4-BE49-F238E27FC236}">
                  <a16:creationId xmlns:a16="http://schemas.microsoft.com/office/drawing/2014/main" id="{3BC2E2B9-55D9-4341-4921-A37EED096D30}"/>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7" name="Rectángulo: esquinas redondeadas 56">
              <a:extLst>
                <a:ext uri="{FF2B5EF4-FFF2-40B4-BE49-F238E27FC236}">
                  <a16:creationId xmlns:a16="http://schemas.microsoft.com/office/drawing/2014/main" id="{058BBC47-656E-4629-E7D2-87300325AFF3}"/>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MES</a:t>
              </a:r>
            </a:p>
          </xdr:txBody>
        </xdr:sp>
        <xdr:sp macro="" textlink="">
          <xdr:nvSpPr>
            <xdr:cNvPr id="58" name="Rectángulo: esquinas redondeadas 57">
              <a:extLst>
                <a:ext uri="{FF2B5EF4-FFF2-40B4-BE49-F238E27FC236}">
                  <a16:creationId xmlns:a16="http://schemas.microsoft.com/office/drawing/2014/main" id="{E8133851-BB4D-1F6E-80E9-577D1DAE76E6}"/>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9" name="Rectángulo: esquinas redondeadas 58">
              <a:extLst>
                <a:ext uri="{FF2B5EF4-FFF2-40B4-BE49-F238E27FC236}">
                  <a16:creationId xmlns:a16="http://schemas.microsoft.com/office/drawing/2014/main" id="{7E5F4579-2CDC-D853-9AA6-72B800C27DED}"/>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p>
          </xdr:txBody>
        </xdr:sp>
        <xdr:sp macro="" textlink="">
          <xdr:nvSpPr>
            <xdr:cNvPr id="60" name="Rectángulo: esquinas redondeadas 59">
              <a:extLst>
                <a:ext uri="{FF2B5EF4-FFF2-40B4-BE49-F238E27FC236}">
                  <a16:creationId xmlns:a16="http://schemas.microsoft.com/office/drawing/2014/main" id="{EB3E41F4-19E5-D1F8-F988-47E961922315}"/>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54" name="Rectángulo: esquinas redondeadas 53">
            <a:extLst>
              <a:ext uri="{FF2B5EF4-FFF2-40B4-BE49-F238E27FC236}">
                <a16:creationId xmlns:a16="http://schemas.microsoft.com/office/drawing/2014/main" id="{A5006E13-6349-0879-10DB-9EEE089149D1}"/>
              </a:ext>
            </a:extLst>
          </xdr:cNvPr>
          <xdr:cNvSpPr/>
        </xdr:nvSpPr>
        <xdr:spPr>
          <a:xfrm>
            <a:off x="2311854" y="5542188"/>
            <a:ext cx="1980000" cy="712597"/>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la cual deseas extraer el mes. Puede ser una fecha directamente ingresada en la fórmula, una referencia a una celda que contiene una fecha, o el resultado de otra función que devuelve una fecha.</a:t>
            </a:r>
          </a:p>
        </xdr:txBody>
      </xdr:sp>
      <xdr:pic>
        <xdr:nvPicPr>
          <xdr:cNvPr id="55" name="Gráfico 54" descr="Information con relleno sólido">
            <a:extLst>
              <a:ext uri="{FF2B5EF4-FFF2-40B4-BE49-F238E27FC236}">
                <a16:creationId xmlns:a16="http://schemas.microsoft.com/office/drawing/2014/main" id="{B5725B0F-385F-5048-E889-76102AC884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49955" y="5570764"/>
            <a:ext cx="161925" cy="161925"/>
          </a:xfrm>
          <a:prstGeom prst="rect">
            <a:avLst/>
          </a:prstGeom>
        </xdr:spPr>
      </xdr:pic>
    </xdr:grpSp>
    <xdr:clientData/>
  </xdr:twoCellAnchor>
  <xdr:twoCellAnchor editAs="absolute">
    <xdr:from>
      <xdr:col>1</xdr:col>
      <xdr:colOff>35984</xdr:colOff>
      <xdr:row>72</xdr:row>
      <xdr:rowOff>176741</xdr:rowOff>
    </xdr:from>
    <xdr:to>
      <xdr:col>13</xdr:col>
      <xdr:colOff>2294</xdr:colOff>
      <xdr:row>74</xdr:row>
      <xdr:rowOff>73025</xdr:rowOff>
    </xdr:to>
    <xdr:sp macro="" textlink="">
      <xdr:nvSpPr>
        <xdr:cNvPr id="61" name="Rectángulo: esquinas redondeadas 60">
          <a:extLst>
            <a:ext uri="{FF2B5EF4-FFF2-40B4-BE49-F238E27FC236}">
              <a16:creationId xmlns:a16="http://schemas.microsoft.com/office/drawing/2014/main" id="{CA715764-E0DB-49C4-B29F-0A07910B4FCC}"/>
            </a:ext>
          </a:extLst>
        </xdr:cNvPr>
        <xdr:cNvSpPr/>
      </xdr:nvSpPr>
      <xdr:spPr>
        <a:xfrm>
          <a:off x="162984" y="16959791"/>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6351</xdr:colOff>
      <xdr:row>91</xdr:row>
      <xdr:rowOff>201083</xdr:rowOff>
    </xdr:from>
    <xdr:to>
      <xdr:col>12</xdr:col>
      <xdr:colOff>874361</xdr:colOff>
      <xdr:row>93</xdr:row>
      <xdr:rowOff>52915</xdr:rowOff>
    </xdr:to>
    <xdr:sp macro="" textlink="">
      <xdr:nvSpPr>
        <xdr:cNvPr id="62" name="Rectángulo: esquinas redondeadas 61">
          <a:extLst>
            <a:ext uri="{FF2B5EF4-FFF2-40B4-BE49-F238E27FC236}">
              <a16:creationId xmlns:a16="http://schemas.microsoft.com/office/drawing/2014/main" id="{FD3E330A-3F01-469C-9F7E-85449586ED79}"/>
            </a:ext>
          </a:extLst>
        </xdr:cNvPr>
        <xdr:cNvSpPr/>
      </xdr:nvSpPr>
      <xdr:spPr>
        <a:xfrm>
          <a:off x="133351" y="18362083"/>
          <a:ext cx="13563777" cy="31114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28575</xdr:colOff>
      <xdr:row>93</xdr:row>
      <xdr:rowOff>117471</xdr:rowOff>
    </xdr:from>
    <xdr:to>
      <xdr:col>12</xdr:col>
      <xdr:colOff>873126</xdr:colOff>
      <xdr:row>96</xdr:row>
      <xdr:rowOff>129115</xdr:rowOff>
    </xdr:to>
    <xdr:sp macro="" textlink="">
      <xdr:nvSpPr>
        <xdr:cNvPr id="63" name="Rectángulo: esquinas redondeadas 62">
          <a:extLst>
            <a:ext uri="{FF2B5EF4-FFF2-40B4-BE49-F238E27FC236}">
              <a16:creationId xmlns:a16="http://schemas.microsoft.com/office/drawing/2014/main" id="{58E36CEC-4ED3-4310-A77A-A6DE7A1E5574}"/>
            </a:ext>
          </a:extLst>
        </xdr:cNvPr>
        <xdr:cNvSpPr/>
      </xdr:nvSpPr>
      <xdr:spPr>
        <a:xfrm>
          <a:off x="155575" y="18744138"/>
          <a:ext cx="13581593" cy="71014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AÑO (YEAR en inglés) </a:t>
          </a:r>
          <a:r>
            <a:rPr lang="en-US" sz="1000" b="0">
              <a:solidFill>
                <a:schemeClr val="tx1"/>
              </a:solidFill>
              <a:latin typeface="Montserrat" panose="00000500000000000000" pitchFamily="2" charset="0"/>
              <a:ea typeface="+mn-ea"/>
              <a:cs typeface="+mn-cs"/>
            </a:rPr>
            <a:t>es una función en Excel que devuelve el año de una fecha especificada. El resultado es un número entero de cuatro dígitos que representa el año de la fecha dada. Esta función es útil para extraer el componente del año de una fecha, lo que permite realizar análisis por año, clasificar o filtrar datos por año, o realizar cálculos que dependen del año de una fecha dada.</a:t>
          </a:r>
        </a:p>
      </xdr:txBody>
    </xdr:sp>
    <xdr:clientData/>
  </xdr:twoCellAnchor>
  <xdr:twoCellAnchor editAs="oneCell">
    <xdr:from>
      <xdr:col>1</xdr:col>
      <xdr:colOff>1</xdr:colOff>
      <xdr:row>96</xdr:row>
      <xdr:rowOff>212723</xdr:rowOff>
    </xdr:from>
    <xdr:to>
      <xdr:col>12</xdr:col>
      <xdr:colOff>874361</xdr:colOff>
      <xdr:row>98</xdr:row>
      <xdr:rowOff>80432</xdr:rowOff>
    </xdr:to>
    <xdr:sp macro="" textlink="">
      <xdr:nvSpPr>
        <xdr:cNvPr id="64" name="Rectángulo: esquinas redondeadas 63">
          <a:extLst>
            <a:ext uri="{FF2B5EF4-FFF2-40B4-BE49-F238E27FC236}">
              <a16:creationId xmlns:a16="http://schemas.microsoft.com/office/drawing/2014/main" id="{F508FB07-22C2-4C92-8EA7-48AF171DD84A}"/>
            </a:ext>
          </a:extLst>
        </xdr:cNvPr>
        <xdr:cNvSpPr/>
      </xdr:nvSpPr>
      <xdr:spPr>
        <a:xfrm>
          <a:off x="127001" y="19537890"/>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10583</xdr:colOff>
      <xdr:row>99</xdr:row>
      <xdr:rowOff>44450</xdr:rowOff>
    </xdr:from>
    <xdr:to>
      <xdr:col>4</xdr:col>
      <xdr:colOff>780296</xdr:colOff>
      <xdr:row>104</xdr:row>
      <xdr:rowOff>116415</xdr:rowOff>
    </xdr:to>
    <xdr:grpSp>
      <xdr:nvGrpSpPr>
        <xdr:cNvPr id="65" name="Grupo 64">
          <a:extLst>
            <a:ext uri="{FF2B5EF4-FFF2-40B4-BE49-F238E27FC236}">
              <a16:creationId xmlns:a16="http://schemas.microsoft.com/office/drawing/2014/main" id="{BF5627AE-E663-4A44-8465-E6CA4E4029DF}"/>
            </a:ext>
          </a:extLst>
        </xdr:cNvPr>
        <xdr:cNvGrpSpPr/>
      </xdr:nvGrpSpPr>
      <xdr:grpSpPr>
        <a:xfrm>
          <a:off x="127000" y="17898533"/>
          <a:ext cx="4018796" cy="971549"/>
          <a:chOff x="243568" y="5018653"/>
          <a:chExt cx="4440013" cy="1236132"/>
        </a:xfrm>
      </xdr:grpSpPr>
      <xdr:grpSp>
        <xdr:nvGrpSpPr>
          <xdr:cNvPr id="66" name="Grupo 65">
            <a:extLst>
              <a:ext uri="{FF2B5EF4-FFF2-40B4-BE49-F238E27FC236}">
                <a16:creationId xmlns:a16="http://schemas.microsoft.com/office/drawing/2014/main" id="{1FCC0656-DD6C-109F-409D-B62D9F168C41}"/>
              </a:ext>
            </a:extLst>
          </xdr:cNvPr>
          <xdr:cNvGrpSpPr/>
        </xdr:nvGrpSpPr>
        <xdr:grpSpPr>
          <a:xfrm>
            <a:off x="243568" y="5018653"/>
            <a:ext cx="4440013" cy="355148"/>
            <a:chOff x="276225" y="2009775"/>
            <a:chExt cx="4429127" cy="352426"/>
          </a:xfrm>
        </xdr:grpSpPr>
        <xdr:sp macro="" textlink="">
          <xdr:nvSpPr>
            <xdr:cNvPr id="69" name="Rectángulo: esquinas redondeadas 68">
              <a:extLst>
                <a:ext uri="{FF2B5EF4-FFF2-40B4-BE49-F238E27FC236}">
                  <a16:creationId xmlns:a16="http://schemas.microsoft.com/office/drawing/2014/main" id="{3CB9B082-5175-D37F-AD67-F7516E0485FB}"/>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0" name="Rectángulo: esquinas redondeadas 69">
              <a:extLst>
                <a:ext uri="{FF2B5EF4-FFF2-40B4-BE49-F238E27FC236}">
                  <a16:creationId xmlns:a16="http://schemas.microsoft.com/office/drawing/2014/main" id="{0165FB4F-0F9C-6D7B-747B-CC32DD1456A7}"/>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AÑO</a:t>
              </a:r>
            </a:p>
          </xdr:txBody>
        </xdr:sp>
        <xdr:sp macro="" textlink="">
          <xdr:nvSpPr>
            <xdr:cNvPr id="71" name="Rectángulo: esquinas redondeadas 70">
              <a:extLst>
                <a:ext uri="{FF2B5EF4-FFF2-40B4-BE49-F238E27FC236}">
                  <a16:creationId xmlns:a16="http://schemas.microsoft.com/office/drawing/2014/main" id="{79B6C891-AD6B-35F7-98C2-DD5FCB4B40E8}"/>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2" name="Rectángulo: esquinas redondeadas 71">
              <a:extLst>
                <a:ext uri="{FF2B5EF4-FFF2-40B4-BE49-F238E27FC236}">
                  <a16:creationId xmlns:a16="http://schemas.microsoft.com/office/drawing/2014/main" id="{4E93097A-E6D9-E61F-177D-CC0013AAE8C9}"/>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p>
          </xdr:txBody>
        </xdr:sp>
        <xdr:sp macro="" textlink="">
          <xdr:nvSpPr>
            <xdr:cNvPr id="73" name="Rectángulo: esquinas redondeadas 72">
              <a:extLst>
                <a:ext uri="{FF2B5EF4-FFF2-40B4-BE49-F238E27FC236}">
                  <a16:creationId xmlns:a16="http://schemas.microsoft.com/office/drawing/2014/main" id="{F9E8F2B2-C41A-256F-0B13-21EC5550804B}"/>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67" name="Rectángulo: esquinas redondeadas 66">
            <a:extLst>
              <a:ext uri="{FF2B5EF4-FFF2-40B4-BE49-F238E27FC236}">
                <a16:creationId xmlns:a16="http://schemas.microsoft.com/office/drawing/2014/main" id="{674D9206-5891-4776-E770-8BA3C28A9294}"/>
              </a:ext>
            </a:extLst>
          </xdr:cNvPr>
          <xdr:cNvSpPr/>
        </xdr:nvSpPr>
        <xdr:spPr>
          <a:xfrm>
            <a:off x="2311854" y="5542188"/>
            <a:ext cx="1980000" cy="712597"/>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la cual deseas extraer el año. Puede ser una fecha directamente ingresada en la fórmula, una referencia a una celda que contiene una fecha, o el resultado de otra función que devuelve una fecha.</a:t>
            </a:r>
          </a:p>
        </xdr:txBody>
      </xdr:sp>
      <xdr:pic>
        <xdr:nvPicPr>
          <xdr:cNvPr id="68" name="Gráfico 67" descr="Information con relleno sólido">
            <a:extLst>
              <a:ext uri="{FF2B5EF4-FFF2-40B4-BE49-F238E27FC236}">
                <a16:creationId xmlns:a16="http://schemas.microsoft.com/office/drawing/2014/main" id="{2AE42F61-3B14-6A61-2EFB-909C7520F2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49955" y="5570764"/>
            <a:ext cx="161925" cy="161925"/>
          </a:xfrm>
          <a:prstGeom prst="rect">
            <a:avLst/>
          </a:prstGeom>
        </xdr:spPr>
      </xdr:pic>
    </xdr:grpSp>
    <xdr:clientData/>
  </xdr:twoCellAnchor>
  <xdr:twoCellAnchor editAs="oneCell">
    <xdr:from>
      <xdr:col>1</xdr:col>
      <xdr:colOff>25401</xdr:colOff>
      <xdr:row>105</xdr:row>
      <xdr:rowOff>5290</xdr:rowOff>
    </xdr:from>
    <xdr:to>
      <xdr:col>13</xdr:col>
      <xdr:colOff>1236</xdr:colOff>
      <xdr:row>106</xdr:row>
      <xdr:rowOff>112183</xdr:rowOff>
    </xdr:to>
    <xdr:sp macro="" textlink="">
      <xdr:nvSpPr>
        <xdr:cNvPr id="74" name="Rectángulo: esquinas redondeadas 73">
          <a:extLst>
            <a:ext uri="{FF2B5EF4-FFF2-40B4-BE49-F238E27FC236}">
              <a16:creationId xmlns:a16="http://schemas.microsoft.com/office/drawing/2014/main" id="{DCD6427B-D268-4D4E-A7FD-718CF558578C}"/>
            </a:ext>
          </a:extLst>
        </xdr:cNvPr>
        <xdr:cNvSpPr/>
      </xdr:nvSpPr>
      <xdr:spPr>
        <a:xfrm>
          <a:off x="152401" y="21425957"/>
          <a:ext cx="13573302" cy="3333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9</xdr:col>
      <xdr:colOff>2262893</xdr:colOff>
      <xdr:row>4</xdr:row>
      <xdr:rowOff>177800</xdr:rowOff>
    </xdr:to>
    <xdr:sp macro="" textlink="">
      <xdr:nvSpPr>
        <xdr:cNvPr id="2" name="Rectángulo: esquinas redondeadas 1">
          <a:extLst>
            <a:ext uri="{FF2B5EF4-FFF2-40B4-BE49-F238E27FC236}">
              <a16:creationId xmlns:a16="http://schemas.microsoft.com/office/drawing/2014/main" id="{5C2BD596-DF26-4374-A827-4398177857C4}"/>
            </a:ext>
          </a:extLst>
        </xdr:cNvPr>
        <xdr:cNvSpPr/>
      </xdr:nvSpPr>
      <xdr:spPr>
        <a:xfrm>
          <a:off x="126999" y="76200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9</xdr:col>
      <xdr:colOff>2302933</xdr:colOff>
      <xdr:row>8</xdr:row>
      <xdr:rowOff>2420</xdr:rowOff>
    </xdr:to>
    <xdr:sp macro="" textlink="">
      <xdr:nvSpPr>
        <xdr:cNvPr id="3" name="Rectángulo: esquinas redondeadas 2">
          <a:extLst>
            <a:ext uri="{FF2B5EF4-FFF2-40B4-BE49-F238E27FC236}">
              <a16:creationId xmlns:a16="http://schemas.microsoft.com/office/drawing/2014/main" id="{4A1BE6B2-A79D-41DE-99EE-E97FD71BA26E}"/>
            </a:ext>
          </a:extLst>
        </xdr:cNvPr>
        <xdr:cNvSpPr/>
      </xdr:nvSpPr>
      <xdr:spPr>
        <a:xfrm>
          <a:off x="152398" y="1115786"/>
          <a:ext cx="13104285" cy="51117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FECHA.MES (o EDATE en inglés) </a:t>
          </a:r>
          <a:r>
            <a:rPr lang="en-US" sz="1000" b="0">
              <a:solidFill>
                <a:schemeClr val="tx1"/>
              </a:solidFill>
              <a:latin typeface="Montserrat" panose="00000500000000000000" pitchFamily="2" charset="0"/>
              <a:ea typeface="+mn-ea"/>
              <a:cs typeface="+mn-cs"/>
            </a:rPr>
            <a:t>se utiliza para calcular la fecha que es un número específico de meses antes o después de una fecha inicial. Esta función es útil para calcular vencimientos, fechas de aniversario, o cualquier otro cálculo de fecha que requiera ajustes mensuales.</a:t>
          </a:r>
        </a:p>
      </xdr:txBody>
    </xdr:sp>
    <xdr:clientData/>
  </xdr:twoCellAnchor>
  <xdr:twoCellAnchor editAs="oneCell">
    <xdr:from>
      <xdr:col>0</xdr:col>
      <xdr:colOff>123824</xdr:colOff>
      <xdr:row>8</xdr:row>
      <xdr:rowOff>57150</xdr:rowOff>
    </xdr:from>
    <xdr:to>
      <xdr:col>9</xdr:col>
      <xdr:colOff>2262893</xdr:colOff>
      <xdr:row>9</xdr:row>
      <xdr:rowOff>111125</xdr:rowOff>
    </xdr:to>
    <xdr:sp macro="" textlink="">
      <xdr:nvSpPr>
        <xdr:cNvPr id="4" name="Rectángulo: esquinas redondeadas 3">
          <a:extLst>
            <a:ext uri="{FF2B5EF4-FFF2-40B4-BE49-F238E27FC236}">
              <a16:creationId xmlns:a16="http://schemas.microsoft.com/office/drawing/2014/main" id="{88EF7DBF-E4D2-478A-A2D2-E21E19298719}"/>
            </a:ext>
          </a:extLst>
        </xdr:cNvPr>
        <xdr:cNvSpPr/>
      </xdr:nvSpPr>
      <xdr:spPr>
        <a:xfrm>
          <a:off x="126999" y="173355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9</xdr:col>
      <xdr:colOff>2262893</xdr:colOff>
      <xdr:row>18</xdr:row>
      <xdr:rowOff>73025</xdr:rowOff>
    </xdr:to>
    <xdr:sp macro="" textlink="">
      <xdr:nvSpPr>
        <xdr:cNvPr id="5" name="Rectángulo: esquinas redondeadas 4">
          <a:extLst>
            <a:ext uri="{FF2B5EF4-FFF2-40B4-BE49-F238E27FC236}">
              <a16:creationId xmlns:a16="http://schemas.microsoft.com/office/drawing/2014/main" id="{A0D01EFA-58A0-49A2-A02B-7148EDEF437B}"/>
            </a:ext>
          </a:extLst>
        </xdr:cNvPr>
        <xdr:cNvSpPr/>
      </xdr:nvSpPr>
      <xdr:spPr>
        <a:xfrm>
          <a:off x="126999" y="358140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35</xdr:row>
      <xdr:rowOff>0</xdr:rowOff>
    </xdr:from>
    <xdr:to>
      <xdr:col>9</xdr:col>
      <xdr:colOff>2286000</xdr:colOff>
      <xdr:row>36</xdr:row>
      <xdr:rowOff>53975</xdr:rowOff>
    </xdr:to>
    <xdr:sp macro="" textlink="">
      <xdr:nvSpPr>
        <xdr:cNvPr id="6" name="Rectángulo: esquinas redondeadas 5">
          <a:extLst>
            <a:ext uri="{FF2B5EF4-FFF2-40B4-BE49-F238E27FC236}">
              <a16:creationId xmlns:a16="http://schemas.microsoft.com/office/drawing/2014/main" id="{6EBB83E2-E8E4-4FB2-9248-72F7A1ADD7FC}"/>
            </a:ext>
          </a:extLst>
        </xdr:cNvPr>
        <xdr:cNvSpPr/>
      </xdr:nvSpPr>
      <xdr:spPr>
        <a:xfrm>
          <a:off x="123825" y="18307050"/>
          <a:ext cx="13115925"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40</xdr:row>
      <xdr:rowOff>1058</xdr:rowOff>
    </xdr:from>
    <xdr:to>
      <xdr:col>9</xdr:col>
      <xdr:colOff>2320924</xdr:colOff>
      <xdr:row>42</xdr:row>
      <xdr:rowOff>76199</xdr:rowOff>
    </xdr:to>
    <xdr:sp macro="" textlink="">
      <xdr:nvSpPr>
        <xdr:cNvPr id="7" name="Rectángulo: esquinas redondeadas 6">
          <a:extLst>
            <a:ext uri="{FF2B5EF4-FFF2-40B4-BE49-F238E27FC236}">
              <a16:creationId xmlns:a16="http://schemas.microsoft.com/office/drawing/2014/main" id="{B1FF7AFE-26DC-4DA3-8DB9-A5FA4787F017}"/>
            </a:ext>
          </a:extLst>
        </xdr:cNvPr>
        <xdr:cNvSpPr/>
      </xdr:nvSpPr>
      <xdr:spPr>
        <a:xfrm>
          <a:off x="95249" y="7229475"/>
          <a:ext cx="12385675" cy="43497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Añade 24 meses a cada</a:t>
          </a:r>
          <a:r>
            <a:rPr lang="en-US" sz="1000" b="0" baseline="0">
              <a:solidFill>
                <a:schemeClr val="tx1"/>
              </a:solidFill>
              <a:latin typeface="Montserrat" panose="00000500000000000000" pitchFamily="2" charset="0"/>
              <a:ea typeface="+mn-ea"/>
              <a:cs typeface="+mn-cs"/>
            </a:rPr>
            <a:t> fecha.</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9524</xdr:colOff>
      <xdr:row>0</xdr:row>
      <xdr:rowOff>104775</xdr:rowOff>
    </xdr:from>
    <xdr:to>
      <xdr:col>9</xdr:col>
      <xdr:colOff>2360084</xdr:colOff>
      <xdr:row>2</xdr:row>
      <xdr:rowOff>177800</xdr:rowOff>
    </xdr:to>
    <xdr:grpSp>
      <xdr:nvGrpSpPr>
        <xdr:cNvPr id="8" name="Grupo 7">
          <a:extLst>
            <a:ext uri="{FF2B5EF4-FFF2-40B4-BE49-F238E27FC236}">
              <a16:creationId xmlns:a16="http://schemas.microsoft.com/office/drawing/2014/main" id="{791C47E2-6380-491A-8E82-281C96292C2B}"/>
            </a:ext>
          </a:extLst>
        </xdr:cNvPr>
        <xdr:cNvGrpSpPr/>
      </xdr:nvGrpSpPr>
      <xdr:grpSpPr>
        <a:xfrm>
          <a:off x="125941" y="104775"/>
          <a:ext cx="12394143" cy="432858"/>
          <a:chOff x="136524" y="104775"/>
          <a:chExt cx="13664143" cy="541867"/>
        </a:xfrm>
      </xdr:grpSpPr>
      <xdr:sp macro="" textlink="">
        <xdr:nvSpPr>
          <xdr:cNvPr id="9" name="Rectángulo: esquinas redondeadas 8">
            <a:extLst>
              <a:ext uri="{FF2B5EF4-FFF2-40B4-BE49-F238E27FC236}">
                <a16:creationId xmlns:a16="http://schemas.microsoft.com/office/drawing/2014/main" id="{0D30BBEC-4D14-5FC1-32C7-F3F552859D4E}"/>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C413D309-D009-FA5F-7D73-88C62A8E0B41}"/>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FECHA.MES</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676A7EA9-ED03-5C39-577E-DE703956C7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68</xdr:row>
      <xdr:rowOff>28575</xdr:rowOff>
    </xdr:from>
    <xdr:to>
      <xdr:col>9</xdr:col>
      <xdr:colOff>2300994</xdr:colOff>
      <xdr:row>69</xdr:row>
      <xdr:rowOff>88898</xdr:rowOff>
    </xdr:to>
    <xdr:sp macro="" textlink="">
      <xdr:nvSpPr>
        <xdr:cNvPr id="12" name="Rectángulo: esquinas redondeadas 11">
          <a:extLst>
            <a:ext uri="{FF2B5EF4-FFF2-40B4-BE49-F238E27FC236}">
              <a16:creationId xmlns:a16="http://schemas.microsoft.com/office/drawing/2014/main" id="{444343A2-AB7E-4EFF-8F14-A08C6A22C4E5}"/>
            </a:ext>
          </a:extLst>
        </xdr:cNvPr>
        <xdr:cNvSpPr/>
      </xdr:nvSpPr>
      <xdr:spPr>
        <a:xfrm>
          <a:off x="149225" y="25590500"/>
          <a:ext cx="13099169" cy="26034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69</xdr:row>
      <xdr:rowOff>161925</xdr:rowOff>
    </xdr:from>
    <xdr:to>
      <xdr:col>9</xdr:col>
      <xdr:colOff>2341034</xdr:colOff>
      <xdr:row>72</xdr:row>
      <xdr:rowOff>151342</xdr:rowOff>
    </xdr:to>
    <xdr:sp macro="" textlink="">
      <xdr:nvSpPr>
        <xdr:cNvPr id="13" name="Rectángulo: esquinas redondeadas 12">
          <a:extLst>
            <a:ext uri="{FF2B5EF4-FFF2-40B4-BE49-F238E27FC236}">
              <a16:creationId xmlns:a16="http://schemas.microsoft.com/office/drawing/2014/main" id="{3BCF66E0-59B2-492E-972A-46D76074AF39}"/>
            </a:ext>
          </a:extLst>
        </xdr:cNvPr>
        <xdr:cNvSpPr/>
      </xdr:nvSpPr>
      <xdr:spPr>
        <a:xfrm>
          <a:off x="184149" y="25933400"/>
          <a:ext cx="13101110" cy="62124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FIN.MES (EOMONTH en inglés) </a:t>
          </a:r>
          <a:r>
            <a:rPr lang="en-US" sz="1000" b="0">
              <a:solidFill>
                <a:schemeClr val="tx1"/>
              </a:solidFill>
              <a:latin typeface="Montserrat" panose="00000500000000000000" pitchFamily="2" charset="0"/>
              <a:ea typeface="+mn-ea"/>
              <a:cs typeface="+mn-cs"/>
            </a:rPr>
            <a:t>es una función en Excel que devuelve la fecha del último día del mes que está un número específico de meses antes o después de una fecha inicial. Es útil para calcular fechas de vencimiento que ocurren al final de un mes, independientemente de la cantidad de días del mes.</a:t>
          </a:r>
        </a:p>
      </xdr:txBody>
    </xdr:sp>
    <xdr:clientData/>
  </xdr:twoCellAnchor>
  <xdr:twoCellAnchor editAs="oneCell">
    <xdr:from>
      <xdr:col>1</xdr:col>
      <xdr:colOff>14817</xdr:colOff>
      <xdr:row>73</xdr:row>
      <xdr:rowOff>65616</xdr:rowOff>
    </xdr:from>
    <xdr:to>
      <xdr:col>9</xdr:col>
      <xdr:colOff>2287236</xdr:colOff>
      <xdr:row>74</xdr:row>
      <xdr:rowOff>111126</xdr:rowOff>
    </xdr:to>
    <xdr:sp macro="" textlink="">
      <xdr:nvSpPr>
        <xdr:cNvPr id="14" name="Rectángulo: esquinas redondeadas 13">
          <a:extLst>
            <a:ext uri="{FF2B5EF4-FFF2-40B4-BE49-F238E27FC236}">
              <a16:creationId xmlns:a16="http://schemas.microsoft.com/office/drawing/2014/main" id="{058D73D6-366C-45BC-B55E-74E4D35941FF}"/>
            </a:ext>
          </a:extLst>
        </xdr:cNvPr>
        <xdr:cNvSpPr/>
      </xdr:nvSpPr>
      <xdr:spPr>
        <a:xfrm>
          <a:off x="135467" y="26681641"/>
          <a:ext cx="13105519" cy="24553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81</xdr:row>
      <xdr:rowOff>147108</xdr:rowOff>
    </xdr:from>
    <xdr:to>
      <xdr:col>9</xdr:col>
      <xdr:colOff>2300994</xdr:colOff>
      <xdr:row>83</xdr:row>
      <xdr:rowOff>2116</xdr:rowOff>
    </xdr:to>
    <xdr:sp macro="" textlink="">
      <xdr:nvSpPr>
        <xdr:cNvPr id="15" name="Rectángulo: esquinas redondeadas 14">
          <a:extLst>
            <a:ext uri="{FF2B5EF4-FFF2-40B4-BE49-F238E27FC236}">
              <a16:creationId xmlns:a16="http://schemas.microsoft.com/office/drawing/2014/main" id="{A4865C98-9B3B-4380-AC2A-1E5FD2160877}"/>
            </a:ext>
          </a:extLst>
        </xdr:cNvPr>
        <xdr:cNvSpPr/>
      </xdr:nvSpPr>
      <xdr:spPr>
        <a:xfrm>
          <a:off x="149225" y="28433183"/>
          <a:ext cx="13099169" cy="2571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31751</xdr:colOff>
      <xdr:row>99</xdr:row>
      <xdr:rowOff>128058</xdr:rowOff>
    </xdr:from>
    <xdr:to>
      <xdr:col>9</xdr:col>
      <xdr:colOff>2320926</xdr:colOff>
      <xdr:row>100</xdr:row>
      <xdr:rowOff>172506</xdr:rowOff>
    </xdr:to>
    <xdr:sp macro="" textlink="">
      <xdr:nvSpPr>
        <xdr:cNvPr id="16" name="Rectángulo: esquinas redondeadas 15">
          <a:extLst>
            <a:ext uri="{FF2B5EF4-FFF2-40B4-BE49-F238E27FC236}">
              <a16:creationId xmlns:a16="http://schemas.microsoft.com/office/drawing/2014/main" id="{30E10F87-F955-46C0-8573-8F0A3D86B025}"/>
            </a:ext>
          </a:extLst>
        </xdr:cNvPr>
        <xdr:cNvSpPr/>
      </xdr:nvSpPr>
      <xdr:spPr>
        <a:xfrm>
          <a:off x="152401" y="31462133"/>
          <a:ext cx="13122275" cy="257173"/>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104</xdr:row>
      <xdr:rowOff>85724</xdr:rowOff>
    </xdr:from>
    <xdr:to>
      <xdr:col>9</xdr:col>
      <xdr:colOff>2359025</xdr:colOff>
      <xdr:row>107</xdr:row>
      <xdr:rowOff>5290</xdr:rowOff>
    </xdr:to>
    <xdr:sp macro="" textlink="">
      <xdr:nvSpPr>
        <xdr:cNvPr id="17" name="Rectángulo: esquinas redondeadas 16">
          <a:extLst>
            <a:ext uri="{FF2B5EF4-FFF2-40B4-BE49-F238E27FC236}">
              <a16:creationId xmlns:a16="http://schemas.microsoft.com/office/drawing/2014/main" id="{4035DCEC-2E70-4F3B-9AD9-8F082BEA41C5}"/>
            </a:ext>
          </a:extLst>
        </xdr:cNvPr>
        <xdr:cNvSpPr/>
      </xdr:nvSpPr>
      <xdr:spPr>
        <a:xfrm>
          <a:off x="123825" y="32473899"/>
          <a:ext cx="13188950" cy="52175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Añade 24 meses a</a:t>
          </a:r>
          <a:r>
            <a:rPr lang="en-US" sz="1000" b="0" baseline="0">
              <a:solidFill>
                <a:schemeClr val="tx1"/>
              </a:solidFill>
              <a:latin typeface="Montserrat" panose="00000500000000000000" pitchFamily="2" charset="0"/>
              <a:ea typeface="+mn-ea"/>
              <a:cs typeface="+mn-cs"/>
            </a:rPr>
            <a:t> cada fecha ubicando el último día del mes de cada una</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44450</xdr:colOff>
      <xdr:row>65</xdr:row>
      <xdr:rowOff>0</xdr:rowOff>
    </xdr:from>
    <xdr:to>
      <xdr:col>9</xdr:col>
      <xdr:colOff>2401360</xdr:colOff>
      <xdr:row>67</xdr:row>
      <xdr:rowOff>73024</xdr:rowOff>
    </xdr:to>
    <xdr:grpSp>
      <xdr:nvGrpSpPr>
        <xdr:cNvPr id="18" name="Grupo 17">
          <a:extLst>
            <a:ext uri="{FF2B5EF4-FFF2-40B4-BE49-F238E27FC236}">
              <a16:creationId xmlns:a16="http://schemas.microsoft.com/office/drawing/2014/main" id="{FEA622D0-0266-41D2-8884-F4DFC414716E}"/>
            </a:ext>
          </a:extLst>
        </xdr:cNvPr>
        <xdr:cNvGrpSpPr/>
      </xdr:nvGrpSpPr>
      <xdr:grpSpPr>
        <a:xfrm>
          <a:off x="160867" y="11736917"/>
          <a:ext cx="12400493" cy="432857"/>
          <a:chOff x="136524" y="104775"/>
          <a:chExt cx="13664143" cy="541867"/>
        </a:xfrm>
      </xdr:grpSpPr>
      <xdr:sp macro="" textlink="">
        <xdr:nvSpPr>
          <xdr:cNvPr id="19" name="Rectángulo: esquinas redondeadas 18">
            <a:extLst>
              <a:ext uri="{FF2B5EF4-FFF2-40B4-BE49-F238E27FC236}">
                <a16:creationId xmlns:a16="http://schemas.microsoft.com/office/drawing/2014/main" id="{7788283C-EB64-CA9D-F24E-8BF8EA1F5234}"/>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318D1DBE-D0FB-F778-A360-311C0FB4F50B}"/>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FIN.MES</a:t>
            </a:r>
          </a:p>
        </xdr:txBody>
      </xdr:sp>
      <xdr:pic>
        <xdr:nvPicPr>
          <xdr:cNvPr id="21" name="Gráfico 20" descr="Search Inventory con relleno sólido">
            <a:extLst>
              <a:ext uri="{FF2B5EF4-FFF2-40B4-BE49-F238E27FC236}">
                <a16:creationId xmlns:a16="http://schemas.microsoft.com/office/drawing/2014/main" id="{7F579F06-96E7-1ACA-450F-F710A854348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1728855D-187A-F33D-809C-B8088CD8D7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48683</xdr:colOff>
      <xdr:row>75</xdr:row>
      <xdr:rowOff>21166</xdr:rowOff>
    </xdr:from>
    <xdr:to>
      <xdr:col>7</xdr:col>
      <xdr:colOff>33869</xdr:colOff>
      <xdr:row>80</xdr:row>
      <xdr:rowOff>169334</xdr:rowOff>
    </xdr:to>
    <xdr:grpSp>
      <xdr:nvGrpSpPr>
        <xdr:cNvPr id="43" name="Grupo 42">
          <a:extLst>
            <a:ext uri="{FF2B5EF4-FFF2-40B4-BE49-F238E27FC236}">
              <a16:creationId xmlns:a16="http://schemas.microsoft.com/office/drawing/2014/main" id="{742DF718-D098-4C21-B983-63FFD2D47A8D}"/>
            </a:ext>
          </a:extLst>
        </xdr:cNvPr>
        <xdr:cNvGrpSpPr/>
      </xdr:nvGrpSpPr>
      <xdr:grpSpPr>
        <a:xfrm>
          <a:off x="165100" y="13557249"/>
          <a:ext cx="5636686" cy="1047752"/>
          <a:chOff x="229961" y="3365726"/>
          <a:chExt cx="6800852" cy="1203028"/>
        </a:xfrm>
      </xdr:grpSpPr>
      <xdr:grpSp>
        <xdr:nvGrpSpPr>
          <xdr:cNvPr id="44" name="Grupo 43">
            <a:extLst>
              <a:ext uri="{FF2B5EF4-FFF2-40B4-BE49-F238E27FC236}">
                <a16:creationId xmlns:a16="http://schemas.microsoft.com/office/drawing/2014/main" id="{7B29C457-16C0-B38F-63B6-F2042635B61B}"/>
              </a:ext>
            </a:extLst>
          </xdr:cNvPr>
          <xdr:cNvGrpSpPr/>
        </xdr:nvGrpSpPr>
        <xdr:grpSpPr>
          <a:xfrm>
            <a:off x="229961" y="3365726"/>
            <a:ext cx="6800852" cy="355148"/>
            <a:chOff x="304800" y="1466850"/>
            <a:chExt cx="6781802" cy="352426"/>
          </a:xfrm>
        </xdr:grpSpPr>
        <xdr:sp macro="" textlink="">
          <xdr:nvSpPr>
            <xdr:cNvPr id="49" name="Rectángulo: esquinas redondeadas 48">
              <a:extLst>
                <a:ext uri="{FF2B5EF4-FFF2-40B4-BE49-F238E27FC236}">
                  <a16:creationId xmlns:a16="http://schemas.microsoft.com/office/drawing/2014/main" id="{E203EB47-42BD-0059-5A1E-E7D5B92D12A4}"/>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0" name="Rectángulo: esquinas redondeadas 49">
              <a:extLst>
                <a:ext uri="{FF2B5EF4-FFF2-40B4-BE49-F238E27FC236}">
                  <a16:creationId xmlns:a16="http://schemas.microsoft.com/office/drawing/2014/main" id="{FFF6CA44-DDA5-57F0-0C4F-59C0ADDBE62B}"/>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FIN.MES</a:t>
              </a:r>
            </a:p>
          </xdr:txBody>
        </xdr:sp>
        <xdr:sp macro="" textlink="">
          <xdr:nvSpPr>
            <xdr:cNvPr id="51" name="Rectángulo: esquinas redondeadas 50">
              <a:extLst>
                <a:ext uri="{FF2B5EF4-FFF2-40B4-BE49-F238E27FC236}">
                  <a16:creationId xmlns:a16="http://schemas.microsoft.com/office/drawing/2014/main" id="{4A330205-1C66-ACA4-49D5-626AD707C3DB}"/>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2" name="Rectángulo: esquinas redondeadas 51">
              <a:extLst>
                <a:ext uri="{FF2B5EF4-FFF2-40B4-BE49-F238E27FC236}">
                  <a16:creationId xmlns:a16="http://schemas.microsoft.com/office/drawing/2014/main" id="{2A25C6F8-7443-CD9F-1A28-7A917B3EBD44}"/>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r>
                <a:rPr lang="en-US" sz="1000" baseline="0">
                  <a:solidFill>
                    <a:schemeClr val="tx1"/>
                  </a:solidFill>
                  <a:latin typeface="Montserrat" panose="00000500000000000000" pitchFamily="2" charset="0"/>
                  <a:ea typeface="+mn-ea"/>
                  <a:cs typeface="+mn-cs"/>
                </a:rPr>
                <a:t> Inicial</a:t>
              </a:r>
              <a:endParaRPr lang="en-US" sz="1000">
                <a:solidFill>
                  <a:schemeClr val="tx1"/>
                </a:solidFill>
                <a:latin typeface="Montserrat" panose="00000500000000000000" pitchFamily="2" charset="0"/>
                <a:ea typeface="+mn-ea"/>
                <a:cs typeface="+mn-cs"/>
              </a:endParaRPr>
            </a:p>
          </xdr:txBody>
        </xdr:sp>
        <xdr:sp macro="" textlink="">
          <xdr:nvSpPr>
            <xdr:cNvPr id="53" name="Rectángulo: esquinas redondeadas 52">
              <a:extLst>
                <a:ext uri="{FF2B5EF4-FFF2-40B4-BE49-F238E27FC236}">
                  <a16:creationId xmlns:a16="http://schemas.microsoft.com/office/drawing/2014/main" id="{67771FB5-D49E-9198-1633-5D672CA380B8}"/>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Meses</a:t>
              </a:r>
            </a:p>
          </xdr:txBody>
        </xdr:sp>
        <xdr:sp macro="" textlink="">
          <xdr:nvSpPr>
            <xdr:cNvPr id="54" name="Rectángulo: esquinas redondeadas 53">
              <a:extLst>
                <a:ext uri="{FF2B5EF4-FFF2-40B4-BE49-F238E27FC236}">
                  <a16:creationId xmlns:a16="http://schemas.microsoft.com/office/drawing/2014/main" id="{609F8CC1-AEDB-7CE9-2092-40611AA6D656}"/>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5" name="Rectángulo: esquinas redondeadas 54">
              <a:extLst>
                <a:ext uri="{FF2B5EF4-FFF2-40B4-BE49-F238E27FC236}">
                  <a16:creationId xmlns:a16="http://schemas.microsoft.com/office/drawing/2014/main" id="{B8FAB427-656D-3EC3-31A0-B7FB442F9BE9}"/>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45" name="Rectángulo: esquinas redondeadas 44">
            <a:extLst>
              <a:ext uri="{FF2B5EF4-FFF2-40B4-BE49-F238E27FC236}">
                <a16:creationId xmlns:a16="http://schemas.microsoft.com/office/drawing/2014/main" id="{3E692B66-CD0D-AF20-D51F-D9533CFBA629}"/>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inicio desde la cual se realizará el cálculo. Debe ser una fecha válida en formato reconocido por Excel.</a:t>
            </a:r>
          </a:p>
        </xdr:txBody>
      </xdr:sp>
      <xdr:pic>
        <xdr:nvPicPr>
          <xdr:cNvPr id="46" name="Gráfico 45" descr="Information con relleno sólido">
            <a:extLst>
              <a:ext uri="{FF2B5EF4-FFF2-40B4-BE49-F238E27FC236}">
                <a16:creationId xmlns:a16="http://schemas.microsoft.com/office/drawing/2014/main" id="{951BB6E6-7F1B-4061-BF8F-611860395B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6822" y="3882118"/>
            <a:ext cx="161925" cy="161925"/>
          </a:xfrm>
          <a:prstGeom prst="rect">
            <a:avLst/>
          </a:prstGeom>
        </xdr:spPr>
      </xdr:pic>
      <xdr:sp macro="" textlink="">
        <xdr:nvSpPr>
          <xdr:cNvPr id="47" name="Rectángulo: esquinas redondeadas 46">
            <a:extLst>
              <a:ext uri="{FF2B5EF4-FFF2-40B4-BE49-F238E27FC236}">
                <a16:creationId xmlns:a16="http://schemas.microsoft.com/office/drawing/2014/main" id="{9456DA1A-D479-6A79-1361-2238E9F1EF8C}"/>
              </a:ext>
            </a:extLst>
          </xdr:cNvPr>
          <xdr:cNvSpPr/>
        </xdr:nvSpPr>
        <xdr:spPr>
          <a:xfrm>
            <a:off x="4641396" y="3853543"/>
            <a:ext cx="1980000" cy="715211"/>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meses que se añadirán (si es positivo) o sustraerán (si es negativo) de la fecha_inicial. Un valor de 0 devuelve el último día del mes de la fecha_inicial.</a:t>
            </a:r>
          </a:p>
        </xdr:txBody>
      </xdr:sp>
      <xdr:pic>
        <xdr:nvPicPr>
          <xdr:cNvPr id="48" name="Gráfico 47" descr="Information con relleno sólido">
            <a:extLst>
              <a:ext uri="{FF2B5EF4-FFF2-40B4-BE49-F238E27FC236}">
                <a16:creationId xmlns:a16="http://schemas.microsoft.com/office/drawing/2014/main" id="{DCDFACD5-BAD3-4258-6737-53B7B33B8A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79497" y="3872593"/>
            <a:ext cx="161925" cy="161925"/>
          </a:xfrm>
          <a:prstGeom prst="rect">
            <a:avLst/>
          </a:prstGeom>
        </xdr:spPr>
      </xdr:pic>
    </xdr:grpSp>
    <xdr:clientData/>
  </xdr:twoCellAnchor>
  <xdr:twoCellAnchor editAs="oneCell">
    <xdr:from>
      <xdr:col>1</xdr:col>
      <xdr:colOff>0</xdr:colOff>
      <xdr:row>175</xdr:row>
      <xdr:rowOff>0</xdr:rowOff>
    </xdr:from>
    <xdr:to>
      <xdr:col>9</xdr:col>
      <xdr:colOff>2360085</xdr:colOff>
      <xdr:row>177</xdr:row>
      <xdr:rowOff>73025</xdr:rowOff>
    </xdr:to>
    <xdr:grpSp>
      <xdr:nvGrpSpPr>
        <xdr:cNvPr id="80" name="Grupo 79">
          <a:extLst>
            <a:ext uri="{FF2B5EF4-FFF2-40B4-BE49-F238E27FC236}">
              <a16:creationId xmlns:a16="http://schemas.microsoft.com/office/drawing/2014/main" id="{687DB51D-41D4-4336-A291-676953798D2D}"/>
            </a:ext>
          </a:extLst>
        </xdr:cNvPr>
        <xdr:cNvGrpSpPr/>
      </xdr:nvGrpSpPr>
      <xdr:grpSpPr>
        <a:xfrm>
          <a:off x="116417" y="31591250"/>
          <a:ext cx="12403668" cy="432858"/>
          <a:chOff x="136524" y="104775"/>
          <a:chExt cx="13664143" cy="541867"/>
        </a:xfrm>
      </xdr:grpSpPr>
      <xdr:sp macro="" textlink="">
        <xdr:nvSpPr>
          <xdr:cNvPr id="81" name="Rectángulo: esquinas redondeadas 80">
            <a:extLst>
              <a:ext uri="{FF2B5EF4-FFF2-40B4-BE49-F238E27FC236}">
                <a16:creationId xmlns:a16="http://schemas.microsoft.com/office/drawing/2014/main" id="{100E475F-42E1-30FF-133E-23F76A4ECA91}"/>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82" name="CuadroTexto 81">
            <a:extLst>
              <a:ext uri="{FF2B5EF4-FFF2-40B4-BE49-F238E27FC236}">
                <a16:creationId xmlns:a16="http://schemas.microsoft.com/office/drawing/2014/main" id="{5C7AFEF1-2C41-73B6-9A52-94822A57964A}"/>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SI/Y/O</a:t>
            </a:r>
          </a:p>
        </xdr:txBody>
      </xdr:sp>
      <xdr:pic>
        <xdr:nvPicPr>
          <xdr:cNvPr id="83" name="Gráfico 82" descr="Search Inventory con relleno sólido">
            <a:extLst>
              <a:ext uri="{FF2B5EF4-FFF2-40B4-BE49-F238E27FC236}">
                <a16:creationId xmlns:a16="http://schemas.microsoft.com/office/drawing/2014/main" id="{9092D67B-3F28-92B5-4C1E-1D4C6436520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84" name="Gráfico 83" descr="Circle with left arrow con relleno sólido">
            <a:hlinkClick xmlns:r="http://schemas.openxmlformats.org/officeDocument/2006/relationships" r:id="rId1"/>
            <a:extLst>
              <a:ext uri="{FF2B5EF4-FFF2-40B4-BE49-F238E27FC236}">
                <a16:creationId xmlns:a16="http://schemas.microsoft.com/office/drawing/2014/main" id="{0DBCBCBC-43E9-5852-0D40-4E5F94C6AD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178</xdr:row>
      <xdr:rowOff>0</xdr:rowOff>
    </xdr:from>
    <xdr:to>
      <xdr:col>9</xdr:col>
      <xdr:colOff>2302052</xdr:colOff>
      <xdr:row>179</xdr:row>
      <xdr:rowOff>73025</xdr:rowOff>
    </xdr:to>
    <xdr:sp macro="" textlink="">
      <xdr:nvSpPr>
        <xdr:cNvPr id="85" name="Rectángulo: esquinas redondeadas 84">
          <a:extLst>
            <a:ext uri="{FF2B5EF4-FFF2-40B4-BE49-F238E27FC236}">
              <a16:creationId xmlns:a16="http://schemas.microsoft.com/office/drawing/2014/main" id="{2892C777-6FDB-4DC9-AF96-A99478235F57}"/>
            </a:ext>
          </a:extLst>
        </xdr:cNvPr>
        <xdr:cNvSpPr/>
      </xdr:nvSpPr>
      <xdr:spPr>
        <a:xfrm>
          <a:off x="143933" y="48253650"/>
          <a:ext cx="13102344" cy="27305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16934</xdr:colOff>
      <xdr:row>192</xdr:row>
      <xdr:rowOff>114299</xdr:rowOff>
    </xdr:from>
    <xdr:to>
      <xdr:col>9</xdr:col>
      <xdr:colOff>2321984</xdr:colOff>
      <xdr:row>193</xdr:row>
      <xdr:rowOff>174622</xdr:rowOff>
    </xdr:to>
    <xdr:sp macro="" textlink="">
      <xdr:nvSpPr>
        <xdr:cNvPr id="86" name="Rectángulo: esquinas redondeadas 85">
          <a:extLst>
            <a:ext uri="{FF2B5EF4-FFF2-40B4-BE49-F238E27FC236}">
              <a16:creationId xmlns:a16="http://schemas.microsoft.com/office/drawing/2014/main" id="{7DE2679F-5BE8-4A0B-9279-3F0916DD72DD}"/>
            </a:ext>
          </a:extLst>
        </xdr:cNvPr>
        <xdr:cNvSpPr/>
      </xdr:nvSpPr>
      <xdr:spPr>
        <a:xfrm>
          <a:off x="140759" y="51301649"/>
          <a:ext cx="13128625" cy="26987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197</xdr:row>
      <xdr:rowOff>62441</xdr:rowOff>
    </xdr:from>
    <xdr:to>
      <xdr:col>9</xdr:col>
      <xdr:colOff>2359025</xdr:colOff>
      <xdr:row>199</xdr:row>
      <xdr:rowOff>168273</xdr:rowOff>
    </xdr:to>
    <xdr:sp macro="" textlink="">
      <xdr:nvSpPr>
        <xdr:cNvPr id="87" name="Rectángulo: esquinas redondeadas 86">
          <a:extLst>
            <a:ext uri="{FF2B5EF4-FFF2-40B4-BE49-F238E27FC236}">
              <a16:creationId xmlns:a16="http://schemas.microsoft.com/office/drawing/2014/main" id="{3A43AB7D-4158-482C-ADCC-36235F9330D9}"/>
            </a:ext>
          </a:extLst>
        </xdr:cNvPr>
        <xdr:cNvSpPr/>
      </xdr:nvSpPr>
      <xdr:spPr>
        <a:xfrm>
          <a:off x="123825" y="52300716"/>
          <a:ext cx="13188950" cy="51540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vechículos en la celda I56 de acuerdo con el año y trimestre seleccionado</a:t>
          </a:r>
        </a:p>
      </xdr:txBody>
    </xdr:sp>
    <xdr:clientData/>
  </xdr:twoCellAnchor>
  <xdr:twoCellAnchor editAs="oneCell">
    <xdr:from>
      <xdr:col>1</xdr:col>
      <xdr:colOff>168274</xdr:colOff>
      <xdr:row>0</xdr:row>
      <xdr:rowOff>137584</xdr:rowOff>
    </xdr:from>
    <xdr:to>
      <xdr:col>1</xdr:col>
      <xdr:colOff>645583</xdr:colOff>
      <xdr:row>3</xdr:row>
      <xdr:rowOff>3197</xdr:rowOff>
    </xdr:to>
    <xdr:pic>
      <xdr:nvPicPr>
        <xdr:cNvPr id="102" name="Gráfico 101" descr="Left Brain con relleno sólido">
          <a:extLst>
            <a:ext uri="{FF2B5EF4-FFF2-40B4-BE49-F238E27FC236}">
              <a16:creationId xmlns:a16="http://schemas.microsoft.com/office/drawing/2014/main" id="{1B962DCD-EE4B-41C0-85C9-52786EE9CE8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88924" y="140759"/>
          <a:ext cx="474134" cy="477330"/>
        </a:xfrm>
        <a:prstGeom prst="rect">
          <a:avLst/>
        </a:prstGeom>
      </xdr:spPr>
    </xdr:pic>
    <xdr:clientData/>
  </xdr:twoCellAnchor>
  <xdr:twoCellAnchor editAs="oneCell">
    <xdr:from>
      <xdr:col>1</xdr:col>
      <xdr:colOff>10583</xdr:colOff>
      <xdr:row>10</xdr:row>
      <xdr:rowOff>95249</xdr:rowOff>
    </xdr:from>
    <xdr:to>
      <xdr:col>7</xdr:col>
      <xdr:colOff>1765</xdr:colOff>
      <xdr:row>15</xdr:row>
      <xdr:rowOff>149433</xdr:rowOff>
    </xdr:to>
    <xdr:grpSp>
      <xdr:nvGrpSpPr>
        <xdr:cNvPr id="103" name="Grupo 102">
          <a:extLst>
            <a:ext uri="{FF2B5EF4-FFF2-40B4-BE49-F238E27FC236}">
              <a16:creationId xmlns:a16="http://schemas.microsoft.com/office/drawing/2014/main" id="{4DE7B4F2-5A55-4D8E-B24F-36DF0012CA41}"/>
            </a:ext>
          </a:extLst>
        </xdr:cNvPr>
        <xdr:cNvGrpSpPr/>
      </xdr:nvGrpSpPr>
      <xdr:grpSpPr>
        <a:xfrm>
          <a:off x="127000" y="1894416"/>
          <a:ext cx="5642682" cy="953767"/>
          <a:chOff x="229961" y="3365726"/>
          <a:chExt cx="6800852" cy="1099817"/>
        </a:xfrm>
      </xdr:grpSpPr>
      <xdr:grpSp>
        <xdr:nvGrpSpPr>
          <xdr:cNvPr id="104" name="Grupo 103">
            <a:extLst>
              <a:ext uri="{FF2B5EF4-FFF2-40B4-BE49-F238E27FC236}">
                <a16:creationId xmlns:a16="http://schemas.microsoft.com/office/drawing/2014/main" id="{E742D847-FD01-5115-3961-6881A885D660}"/>
              </a:ext>
            </a:extLst>
          </xdr:cNvPr>
          <xdr:cNvGrpSpPr/>
        </xdr:nvGrpSpPr>
        <xdr:grpSpPr>
          <a:xfrm>
            <a:off x="229961" y="3365726"/>
            <a:ext cx="6800852" cy="355148"/>
            <a:chOff x="304800" y="1466850"/>
            <a:chExt cx="6781802" cy="352426"/>
          </a:xfrm>
        </xdr:grpSpPr>
        <xdr:sp macro="" textlink="">
          <xdr:nvSpPr>
            <xdr:cNvPr id="109" name="Rectángulo: esquinas redondeadas 108">
              <a:extLst>
                <a:ext uri="{FF2B5EF4-FFF2-40B4-BE49-F238E27FC236}">
                  <a16:creationId xmlns:a16="http://schemas.microsoft.com/office/drawing/2014/main" id="{39781541-6DB5-0363-88B5-7A7A32F7F309}"/>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0" name="Rectángulo: esquinas redondeadas 109">
              <a:extLst>
                <a:ext uri="{FF2B5EF4-FFF2-40B4-BE49-F238E27FC236}">
                  <a16:creationId xmlns:a16="http://schemas.microsoft.com/office/drawing/2014/main" id="{AC8AA40C-3787-BDF8-0389-A1AE9600E3F7}"/>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FECHA.MES</a:t>
              </a:r>
            </a:p>
          </xdr:txBody>
        </xdr:sp>
        <xdr:sp macro="" textlink="">
          <xdr:nvSpPr>
            <xdr:cNvPr id="111" name="Rectángulo: esquinas redondeadas 110">
              <a:extLst>
                <a:ext uri="{FF2B5EF4-FFF2-40B4-BE49-F238E27FC236}">
                  <a16:creationId xmlns:a16="http://schemas.microsoft.com/office/drawing/2014/main" id="{9C3D343F-B1E2-3B7A-08C2-3CF64AE4CA20}"/>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2" name="Rectángulo: esquinas redondeadas 111">
              <a:extLst>
                <a:ext uri="{FF2B5EF4-FFF2-40B4-BE49-F238E27FC236}">
                  <a16:creationId xmlns:a16="http://schemas.microsoft.com/office/drawing/2014/main" id="{47982C4B-6776-A92D-E4FD-C0D67C226D3A}"/>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Inicial</a:t>
              </a:r>
            </a:p>
          </xdr:txBody>
        </xdr:sp>
        <xdr:sp macro="" textlink="">
          <xdr:nvSpPr>
            <xdr:cNvPr id="113" name="Rectángulo: esquinas redondeadas 112">
              <a:extLst>
                <a:ext uri="{FF2B5EF4-FFF2-40B4-BE49-F238E27FC236}">
                  <a16:creationId xmlns:a16="http://schemas.microsoft.com/office/drawing/2014/main" id="{CF21675C-EF38-BD3A-0E90-5AADCD15F756}"/>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Meses</a:t>
              </a:r>
            </a:p>
          </xdr:txBody>
        </xdr:sp>
        <xdr:sp macro="" textlink="">
          <xdr:nvSpPr>
            <xdr:cNvPr id="114" name="Rectángulo: esquinas redondeadas 113">
              <a:extLst>
                <a:ext uri="{FF2B5EF4-FFF2-40B4-BE49-F238E27FC236}">
                  <a16:creationId xmlns:a16="http://schemas.microsoft.com/office/drawing/2014/main" id="{5193865D-975B-EC4C-CE74-B77238E33D7F}"/>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5" name="Rectángulo: esquinas redondeadas 114">
              <a:extLst>
                <a:ext uri="{FF2B5EF4-FFF2-40B4-BE49-F238E27FC236}">
                  <a16:creationId xmlns:a16="http://schemas.microsoft.com/office/drawing/2014/main" id="{F4F70854-1FF9-1B72-447C-D1200438FA29}"/>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05" name="Rectángulo: esquinas redondeadas 104">
            <a:extLst>
              <a:ext uri="{FF2B5EF4-FFF2-40B4-BE49-F238E27FC236}">
                <a16:creationId xmlns:a16="http://schemas.microsoft.com/office/drawing/2014/main" id="{D11E93E9-F4C9-77B7-722F-8FE85191FDA8}"/>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inicio desde la cual se realizará el cálculo. Debe ser una fecha válida en formato reconocido por Excel.</a:t>
            </a:r>
          </a:p>
        </xdr:txBody>
      </xdr:sp>
      <xdr:pic>
        <xdr:nvPicPr>
          <xdr:cNvPr id="106" name="Gráfico 105" descr="Information con relleno sólido">
            <a:extLst>
              <a:ext uri="{FF2B5EF4-FFF2-40B4-BE49-F238E27FC236}">
                <a16:creationId xmlns:a16="http://schemas.microsoft.com/office/drawing/2014/main" id="{6B03A878-6F8F-430B-9167-93C870168B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6822" y="3882118"/>
            <a:ext cx="161925" cy="161925"/>
          </a:xfrm>
          <a:prstGeom prst="rect">
            <a:avLst/>
          </a:prstGeom>
        </xdr:spPr>
      </xdr:pic>
      <xdr:sp macro="" textlink="">
        <xdr:nvSpPr>
          <xdr:cNvPr id="107" name="Rectángulo: esquinas redondeadas 106">
            <a:extLst>
              <a:ext uri="{FF2B5EF4-FFF2-40B4-BE49-F238E27FC236}">
                <a16:creationId xmlns:a16="http://schemas.microsoft.com/office/drawing/2014/main" id="{6E5AE62B-1487-114D-657C-852DA5AEDE63}"/>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meses que se añadirán (si es positivo) o sustraerán (si es negativo) de la fecha_inicial.</a:t>
            </a:r>
          </a:p>
        </xdr:txBody>
      </xdr:sp>
      <xdr:pic>
        <xdr:nvPicPr>
          <xdr:cNvPr id="108" name="Gráfico 107" descr="Information con relleno sólido">
            <a:extLst>
              <a:ext uri="{FF2B5EF4-FFF2-40B4-BE49-F238E27FC236}">
                <a16:creationId xmlns:a16="http://schemas.microsoft.com/office/drawing/2014/main" id="{CF2BD551-CE65-F6AD-9818-36A4EC98850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79497" y="3872593"/>
            <a:ext cx="161925" cy="161925"/>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10</xdr:col>
      <xdr:colOff>542716</xdr:colOff>
      <xdr:row>5</xdr:row>
      <xdr:rowOff>1795</xdr:rowOff>
    </xdr:to>
    <xdr:sp macro="" textlink="">
      <xdr:nvSpPr>
        <xdr:cNvPr id="2" name="Rectángulo: esquinas redondeadas 1">
          <a:extLst>
            <a:ext uri="{FF2B5EF4-FFF2-40B4-BE49-F238E27FC236}">
              <a16:creationId xmlns:a16="http://schemas.microsoft.com/office/drawing/2014/main" id="{60C2713E-B25C-42A1-B803-68DFC6F091A2}"/>
            </a:ext>
          </a:extLst>
        </xdr:cNvPr>
        <xdr:cNvSpPr/>
      </xdr:nvSpPr>
      <xdr:spPr>
        <a:xfrm>
          <a:off x="123824" y="7620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76200</xdr:rowOff>
    </xdr:from>
    <xdr:to>
      <xdr:col>10</xdr:col>
      <xdr:colOff>582756</xdr:colOff>
      <xdr:row>8</xdr:row>
      <xdr:rowOff>95250</xdr:rowOff>
    </xdr:to>
    <xdr:sp macro="" textlink="">
      <xdr:nvSpPr>
        <xdr:cNvPr id="3" name="Rectángulo: esquinas redondeadas 2">
          <a:extLst>
            <a:ext uri="{FF2B5EF4-FFF2-40B4-BE49-F238E27FC236}">
              <a16:creationId xmlns:a16="http://schemas.microsoft.com/office/drawing/2014/main" id="{67E88E9B-98B3-4EDE-8BD9-8551CF34AF9A}"/>
            </a:ext>
          </a:extLst>
        </xdr:cNvPr>
        <xdr:cNvSpPr/>
      </xdr:nvSpPr>
      <xdr:spPr>
        <a:xfrm>
          <a:off x="158748" y="1134533"/>
          <a:ext cx="13056660" cy="65405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SIFECHA (DATEDIF en inglés) </a:t>
          </a:r>
          <a:r>
            <a:rPr lang="en-US" sz="1000" b="0">
              <a:solidFill>
                <a:schemeClr val="tx1"/>
              </a:solidFill>
              <a:latin typeface="Montserrat" panose="00000500000000000000" pitchFamily="2" charset="0"/>
              <a:ea typeface="+mn-ea"/>
              <a:cs typeface="+mn-cs"/>
            </a:rPr>
            <a:t>es una función en Excel que calcula la diferencia entre dos fechas. Aunque es una función heredada de Lotus 1-2-3 y no aparece en la lista de funciones de Excel ni en la cinta de opciones, SIFECHA puede ser extremadamente útil para calcular la edad, el tiempo de servicio, o el período entre dos eventos. Permite especificar el tipo de diferencia que se desea calcular, como años, meses o días.</a:t>
          </a:r>
        </a:p>
      </xdr:txBody>
    </xdr:sp>
    <xdr:clientData/>
  </xdr:twoCellAnchor>
  <xdr:twoCellAnchor editAs="absolute">
    <xdr:from>
      <xdr:col>0</xdr:col>
      <xdr:colOff>112183</xdr:colOff>
      <xdr:row>9</xdr:row>
      <xdr:rowOff>16933</xdr:rowOff>
    </xdr:from>
    <xdr:to>
      <xdr:col>10</xdr:col>
      <xdr:colOff>524725</xdr:colOff>
      <xdr:row>10</xdr:row>
      <xdr:rowOff>55033</xdr:rowOff>
    </xdr:to>
    <xdr:sp macro="" textlink="">
      <xdr:nvSpPr>
        <xdr:cNvPr id="4" name="Rectángulo: esquinas redondeadas 3">
          <a:extLst>
            <a:ext uri="{FF2B5EF4-FFF2-40B4-BE49-F238E27FC236}">
              <a16:creationId xmlns:a16="http://schemas.microsoft.com/office/drawing/2014/main" id="{E5BE3C25-BAEA-4E20-9192-3627B9C16313}"/>
            </a:ext>
          </a:extLst>
        </xdr:cNvPr>
        <xdr:cNvSpPr/>
      </xdr:nvSpPr>
      <xdr:spPr>
        <a:xfrm>
          <a:off x="105833" y="1909233"/>
          <a:ext cx="13051544" cy="25611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19049</xdr:colOff>
      <xdr:row>11</xdr:row>
      <xdr:rowOff>48685</xdr:rowOff>
    </xdr:from>
    <xdr:to>
      <xdr:col>8</xdr:col>
      <xdr:colOff>9329</xdr:colOff>
      <xdr:row>19</xdr:row>
      <xdr:rowOff>52916</xdr:rowOff>
    </xdr:to>
    <xdr:grpSp>
      <xdr:nvGrpSpPr>
        <xdr:cNvPr id="5" name="Grupo 4">
          <a:extLst>
            <a:ext uri="{FF2B5EF4-FFF2-40B4-BE49-F238E27FC236}">
              <a16:creationId xmlns:a16="http://schemas.microsoft.com/office/drawing/2014/main" id="{BDCB656B-6004-492F-A9FE-D403CA168CAC}"/>
            </a:ext>
          </a:extLst>
        </xdr:cNvPr>
        <xdr:cNvGrpSpPr/>
      </xdr:nvGrpSpPr>
      <xdr:grpSpPr>
        <a:xfrm>
          <a:off x="132935" y="1984745"/>
          <a:ext cx="8024410" cy="1412274"/>
          <a:chOff x="142874" y="2419350"/>
          <a:chExt cx="9029702" cy="1830997"/>
        </a:xfrm>
      </xdr:grpSpPr>
      <xdr:grpSp>
        <xdr:nvGrpSpPr>
          <xdr:cNvPr id="6" name="Grupo 5">
            <a:extLst>
              <a:ext uri="{FF2B5EF4-FFF2-40B4-BE49-F238E27FC236}">
                <a16:creationId xmlns:a16="http://schemas.microsoft.com/office/drawing/2014/main" id="{F61C24EA-8F77-BA86-2C9F-06DCA367A1F4}"/>
              </a:ext>
            </a:extLst>
          </xdr:cNvPr>
          <xdr:cNvGrpSpPr/>
        </xdr:nvGrpSpPr>
        <xdr:grpSpPr>
          <a:xfrm>
            <a:off x="142874" y="2419350"/>
            <a:ext cx="9029702" cy="352426"/>
            <a:chOff x="142874" y="2266950"/>
            <a:chExt cx="9029702" cy="352426"/>
          </a:xfrm>
        </xdr:grpSpPr>
        <xdr:sp macro="" textlink="">
          <xdr:nvSpPr>
            <xdr:cNvPr id="14" name="Rectángulo: esquinas redondeadas 13">
              <a:extLst>
                <a:ext uri="{FF2B5EF4-FFF2-40B4-BE49-F238E27FC236}">
                  <a16:creationId xmlns:a16="http://schemas.microsoft.com/office/drawing/2014/main" id="{E05671A5-4DC8-31AC-2FB3-E7E14CB45478}"/>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5" name="Rectángulo: esquinas redondeadas 14">
              <a:extLst>
                <a:ext uri="{FF2B5EF4-FFF2-40B4-BE49-F238E27FC236}">
                  <a16:creationId xmlns:a16="http://schemas.microsoft.com/office/drawing/2014/main" id="{3FBA542B-BEF5-911D-DC50-948C52D160A1}"/>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SIFECHA</a:t>
              </a:r>
            </a:p>
          </xdr:txBody>
        </xdr:sp>
        <xdr:sp macro="" textlink="">
          <xdr:nvSpPr>
            <xdr:cNvPr id="16" name="Rectángulo: esquinas redondeadas 15">
              <a:extLst>
                <a:ext uri="{FF2B5EF4-FFF2-40B4-BE49-F238E27FC236}">
                  <a16:creationId xmlns:a16="http://schemas.microsoft.com/office/drawing/2014/main" id="{A6E1DC8F-F3F5-C911-08AC-40130B98F0EE}"/>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7" name="Rectángulo: esquinas redondeadas 16">
              <a:extLst>
                <a:ext uri="{FF2B5EF4-FFF2-40B4-BE49-F238E27FC236}">
                  <a16:creationId xmlns:a16="http://schemas.microsoft.com/office/drawing/2014/main" id="{E4567E2D-229F-28A2-44DA-A95840D8D21F}"/>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Inicial</a:t>
              </a:r>
            </a:p>
          </xdr:txBody>
        </xdr:sp>
        <xdr:sp macro="" textlink="">
          <xdr:nvSpPr>
            <xdr:cNvPr id="18" name="Rectángulo: esquinas redondeadas 17">
              <a:extLst>
                <a:ext uri="{FF2B5EF4-FFF2-40B4-BE49-F238E27FC236}">
                  <a16:creationId xmlns:a16="http://schemas.microsoft.com/office/drawing/2014/main" id="{14B68455-B74A-D63F-20B3-92FBF1CDCF97}"/>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Final</a:t>
              </a:r>
            </a:p>
          </xdr:txBody>
        </xdr:sp>
        <xdr:sp macro="" textlink="">
          <xdr:nvSpPr>
            <xdr:cNvPr id="19" name="Rectángulo: esquinas redondeadas 18">
              <a:extLst>
                <a:ext uri="{FF2B5EF4-FFF2-40B4-BE49-F238E27FC236}">
                  <a16:creationId xmlns:a16="http://schemas.microsoft.com/office/drawing/2014/main" id="{50D09DE4-7D2F-977E-8B51-BB34B6F12AE9}"/>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Unidad</a:t>
              </a:r>
            </a:p>
          </xdr:txBody>
        </xdr:sp>
        <xdr:sp macro="" textlink="">
          <xdr:nvSpPr>
            <xdr:cNvPr id="20" name="Rectángulo: esquinas redondeadas 19">
              <a:extLst>
                <a:ext uri="{FF2B5EF4-FFF2-40B4-BE49-F238E27FC236}">
                  <a16:creationId xmlns:a16="http://schemas.microsoft.com/office/drawing/2014/main" id="{012FF989-04F5-F33B-8B38-423754EC75F8}"/>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1" name="Rectángulo: esquinas redondeadas 20">
              <a:extLst>
                <a:ext uri="{FF2B5EF4-FFF2-40B4-BE49-F238E27FC236}">
                  <a16:creationId xmlns:a16="http://schemas.microsoft.com/office/drawing/2014/main" id="{104C84CD-D1FE-5748-346E-4DECEE194093}"/>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2" name="Rectángulo: esquinas redondeadas 21">
              <a:extLst>
                <a:ext uri="{FF2B5EF4-FFF2-40B4-BE49-F238E27FC236}">
                  <a16:creationId xmlns:a16="http://schemas.microsoft.com/office/drawing/2014/main" id="{3B22FE03-54F8-480E-FDF4-3C6CBBBEF74F}"/>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7" name="Grupo 6">
            <a:extLst>
              <a:ext uri="{FF2B5EF4-FFF2-40B4-BE49-F238E27FC236}">
                <a16:creationId xmlns:a16="http://schemas.microsoft.com/office/drawing/2014/main" id="{CFC9A4B5-C7D1-D773-5109-B9A73225B1F6}"/>
              </a:ext>
            </a:extLst>
          </xdr:cNvPr>
          <xdr:cNvGrpSpPr/>
        </xdr:nvGrpSpPr>
        <xdr:grpSpPr>
          <a:xfrm>
            <a:off x="2190749" y="2847974"/>
            <a:ext cx="6677650" cy="1402373"/>
            <a:chOff x="2190749" y="2847974"/>
            <a:chExt cx="6677650" cy="1402373"/>
          </a:xfrm>
        </xdr:grpSpPr>
        <xdr:sp macro="" textlink="">
          <xdr:nvSpPr>
            <xdr:cNvPr id="8" name="Rectángulo: esquinas redondeadas 7">
              <a:extLst>
                <a:ext uri="{FF2B5EF4-FFF2-40B4-BE49-F238E27FC236}">
                  <a16:creationId xmlns:a16="http://schemas.microsoft.com/office/drawing/2014/main" id="{DF1E3339-3AB5-24DB-ADA2-DF24D06328A1}"/>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inicio del período.</a:t>
              </a:r>
            </a:p>
          </xdr:txBody>
        </xdr:sp>
        <xdr:pic>
          <xdr:nvPicPr>
            <xdr:cNvPr id="9" name="Gráfico 8" descr="Information con relleno sólido">
              <a:extLst>
                <a:ext uri="{FF2B5EF4-FFF2-40B4-BE49-F238E27FC236}">
                  <a16:creationId xmlns:a16="http://schemas.microsoft.com/office/drawing/2014/main" id="{6D2ECE87-52E6-272D-C9C7-0E233F355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28850" y="2876550"/>
              <a:ext cx="161925" cy="161925"/>
            </a:xfrm>
            <a:prstGeom prst="rect">
              <a:avLst/>
            </a:prstGeom>
          </xdr:spPr>
        </xdr:pic>
        <xdr:sp macro="" textlink="">
          <xdr:nvSpPr>
            <xdr:cNvPr id="10" name="Rectángulo: esquinas redondeadas 9">
              <a:extLst>
                <a:ext uri="{FF2B5EF4-FFF2-40B4-BE49-F238E27FC236}">
                  <a16:creationId xmlns:a16="http://schemas.microsoft.com/office/drawing/2014/main" id="{21AF6256-BD8F-59DD-F44F-8849F31AF7C3}"/>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finalización del período.</a:t>
              </a:r>
            </a:p>
          </xdr:txBody>
        </xdr:sp>
        <xdr:pic>
          <xdr:nvPicPr>
            <xdr:cNvPr id="11" name="Gráfico 10" descr="Information con relleno sólido">
              <a:extLst>
                <a:ext uri="{FF2B5EF4-FFF2-40B4-BE49-F238E27FC236}">
                  <a16:creationId xmlns:a16="http://schemas.microsoft.com/office/drawing/2014/main" id="{E4C90B23-AC1C-D138-52FC-4E20A029E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81525" y="2867025"/>
              <a:ext cx="161925" cy="161925"/>
            </a:xfrm>
            <a:prstGeom prst="rect">
              <a:avLst/>
            </a:prstGeom>
          </xdr:spPr>
        </xdr:pic>
        <xdr:sp macro="" textlink="">
          <xdr:nvSpPr>
            <xdr:cNvPr id="12" name="Rectángulo: esquinas redondeadas 11">
              <a:extLst>
                <a:ext uri="{FF2B5EF4-FFF2-40B4-BE49-F238E27FC236}">
                  <a16:creationId xmlns:a16="http://schemas.microsoft.com/office/drawing/2014/main" id="{279AC627-A14A-F062-A70F-9BD666E601F4}"/>
                </a:ext>
              </a:extLst>
            </xdr:cNvPr>
            <xdr:cNvSpPr/>
          </xdr:nvSpPr>
          <xdr:spPr>
            <a:xfrm>
              <a:off x="6791324" y="2847974"/>
              <a:ext cx="2077075" cy="140237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Especifica el tipo de diferencia que se desea calcular. Las opciones incluyen:"</a:t>
              </a:r>
            </a:p>
            <a:p>
              <a:pPr marL="0" indent="0" algn="r"/>
              <a:r>
                <a:rPr lang="en-US" sz="600">
                  <a:solidFill>
                    <a:schemeClr val="tx1"/>
                  </a:solidFill>
                  <a:latin typeface="Montserrat" panose="00000500000000000000" pitchFamily="2" charset="0"/>
                  <a:ea typeface="+mn-ea"/>
                  <a:cs typeface="+mn-cs"/>
                </a:rPr>
                <a:t>Y" para años,</a:t>
              </a:r>
            </a:p>
            <a:p>
              <a:pPr marL="0" indent="0" algn="r"/>
              <a:r>
                <a:rPr lang="en-US" sz="600">
                  <a:solidFill>
                    <a:schemeClr val="tx1"/>
                  </a:solidFill>
                  <a:latin typeface="Montserrat" panose="00000500000000000000" pitchFamily="2" charset="0"/>
                  <a:ea typeface="+mn-ea"/>
                  <a:cs typeface="+mn-cs"/>
                </a:rPr>
                <a:t>"M" para meses,</a:t>
              </a:r>
            </a:p>
            <a:p>
              <a:pPr marL="0" indent="0" algn="r"/>
              <a:r>
                <a:rPr lang="en-US" sz="600">
                  <a:solidFill>
                    <a:schemeClr val="tx1"/>
                  </a:solidFill>
                  <a:latin typeface="Montserrat" panose="00000500000000000000" pitchFamily="2" charset="0"/>
                  <a:ea typeface="+mn-ea"/>
                  <a:cs typeface="+mn-cs"/>
                </a:rPr>
                <a:t>"D" para días,</a:t>
              </a:r>
            </a:p>
            <a:p>
              <a:pPr marL="0" indent="0" algn="r"/>
              <a:r>
                <a:rPr lang="en-US" sz="600">
                  <a:solidFill>
                    <a:schemeClr val="tx1"/>
                  </a:solidFill>
                  <a:latin typeface="Montserrat" panose="00000500000000000000" pitchFamily="2" charset="0"/>
                  <a:ea typeface="+mn-ea"/>
                  <a:cs typeface="+mn-cs"/>
                </a:rPr>
                <a:t>"MD" para la diferencia en días, ignorando meses y años,</a:t>
              </a:r>
            </a:p>
            <a:p>
              <a:pPr marL="0" indent="0" algn="r"/>
              <a:r>
                <a:rPr lang="en-US" sz="600">
                  <a:solidFill>
                    <a:schemeClr val="tx1"/>
                  </a:solidFill>
                  <a:latin typeface="Montserrat" panose="00000500000000000000" pitchFamily="2" charset="0"/>
                  <a:ea typeface="+mn-ea"/>
                  <a:cs typeface="+mn-cs"/>
                </a:rPr>
                <a:t>"YM" para la diferencia en meses, ignorando años,</a:t>
              </a:r>
            </a:p>
            <a:p>
              <a:pPr marL="0" indent="0" algn="r"/>
              <a:r>
                <a:rPr lang="en-US" sz="600">
                  <a:solidFill>
                    <a:schemeClr val="tx1"/>
                  </a:solidFill>
                  <a:latin typeface="Montserrat" panose="00000500000000000000" pitchFamily="2" charset="0"/>
                  <a:ea typeface="+mn-ea"/>
                  <a:cs typeface="+mn-cs"/>
                </a:rPr>
                <a:t>"YD" para la diferencia en días, ignorando años.</a:t>
              </a:r>
            </a:p>
          </xdr:txBody>
        </xdr:sp>
        <xdr:pic>
          <xdr:nvPicPr>
            <xdr:cNvPr id="13" name="Gráfico 12" descr="Information con relleno sólido">
              <a:extLst>
                <a:ext uri="{FF2B5EF4-FFF2-40B4-BE49-F238E27FC236}">
                  <a16:creationId xmlns:a16="http://schemas.microsoft.com/office/drawing/2014/main" id="{0512C3F2-91A5-4F97-E0BE-0F313FEA5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829425" y="2857500"/>
              <a:ext cx="161925" cy="161925"/>
            </a:xfrm>
            <a:prstGeom prst="rect">
              <a:avLst/>
            </a:prstGeom>
          </xdr:spPr>
        </xdr:pic>
      </xdr:grpSp>
    </xdr:grpSp>
    <xdr:clientData/>
  </xdr:twoCellAnchor>
  <xdr:twoCellAnchor editAs="absolute">
    <xdr:from>
      <xdr:col>1</xdr:col>
      <xdr:colOff>3174</xdr:colOff>
      <xdr:row>19</xdr:row>
      <xdr:rowOff>148166</xdr:rowOff>
    </xdr:from>
    <xdr:to>
      <xdr:col>10</xdr:col>
      <xdr:colOff>542716</xdr:colOff>
      <xdr:row>21</xdr:row>
      <xdr:rowOff>737</xdr:rowOff>
    </xdr:to>
    <xdr:sp macro="" textlink="">
      <xdr:nvSpPr>
        <xdr:cNvPr id="23" name="Rectángulo: esquinas redondeadas 22">
          <a:extLst>
            <a:ext uri="{FF2B5EF4-FFF2-40B4-BE49-F238E27FC236}">
              <a16:creationId xmlns:a16="http://schemas.microsoft.com/office/drawing/2014/main" id="{E9072E45-7EF4-4B30-AAB4-4305EBC82844}"/>
            </a:ext>
          </a:extLst>
        </xdr:cNvPr>
        <xdr:cNvSpPr/>
      </xdr:nvSpPr>
      <xdr:spPr>
        <a:xfrm>
          <a:off x="126999" y="4160308"/>
          <a:ext cx="13051544" cy="24976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40</xdr:row>
      <xdr:rowOff>0</xdr:rowOff>
    </xdr:from>
    <xdr:to>
      <xdr:col>10</xdr:col>
      <xdr:colOff>581698</xdr:colOff>
      <xdr:row>41</xdr:row>
      <xdr:rowOff>53975</xdr:rowOff>
    </xdr:to>
    <xdr:sp macro="" textlink="">
      <xdr:nvSpPr>
        <xdr:cNvPr id="24" name="Rectángulo: esquinas redondeadas 23">
          <a:extLst>
            <a:ext uri="{FF2B5EF4-FFF2-40B4-BE49-F238E27FC236}">
              <a16:creationId xmlns:a16="http://schemas.microsoft.com/office/drawing/2014/main" id="{6A702A1C-E7DD-41D9-A183-D1739B8EE74A}"/>
            </a:ext>
          </a:extLst>
        </xdr:cNvPr>
        <xdr:cNvSpPr/>
      </xdr:nvSpPr>
      <xdr:spPr>
        <a:xfrm>
          <a:off x="123825" y="9429750"/>
          <a:ext cx="13068300"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44</xdr:row>
      <xdr:rowOff>190500</xdr:rowOff>
    </xdr:from>
    <xdr:to>
      <xdr:col>10</xdr:col>
      <xdr:colOff>600747</xdr:colOff>
      <xdr:row>47</xdr:row>
      <xdr:rowOff>73024</xdr:rowOff>
    </xdr:to>
    <xdr:sp macro="" textlink="">
      <xdr:nvSpPr>
        <xdr:cNvPr id="25" name="Rectángulo: esquinas redondeadas 24">
          <a:extLst>
            <a:ext uri="{FF2B5EF4-FFF2-40B4-BE49-F238E27FC236}">
              <a16:creationId xmlns:a16="http://schemas.microsoft.com/office/drawing/2014/main" id="{B3D105B6-E385-48EB-B06E-AAE264242D0C}"/>
            </a:ext>
          </a:extLst>
        </xdr:cNvPr>
        <xdr:cNvSpPr/>
      </xdr:nvSpPr>
      <xdr:spPr>
        <a:xfrm>
          <a:off x="95249" y="10458450"/>
          <a:ext cx="13128625" cy="5079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meses con días que</a:t>
          </a:r>
          <a:r>
            <a:rPr lang="en-US" sz="1000" b="0" baseline="0">
              <a:solidFill>
                <a:schemeClr val="tx1"/>
              </a:solidFill>
              <a:latin typeface="Montserrat" panose="00000500000000000000" pitchFamily="2" charset="0"/>
              <a:ea typeface="+mn-ea"/>
              <a:cs typeface="+mn-cs"/>
            </a:rPr>
            <a:t> tienen las personas según su fecha de nacimiento y concatena los resultados de tal modo que se vea así en la celda: 10 años 3 meses</a:t>
          </a:r>
        </a:p>
      </xdr:txBody>
    </xdr:sp>
    <xdr:clientData/>
  </xdr:twoCellAnchor>
  <xdr:twoCellAnchor>
    <xdr:from>
      <xdr:col>1</xdr:col>
      <xdr:colOff>12699</xdr:colOff>
      <xdr:row>0</xdr:row>
      <xdr:rowOff>101600</xdr:rowOff>
    </xdr:from>
    <xdr:to>
      <xdr:col>12</xdr:col>
      <xdr:colOff>264584</xdr:colOff>
      <xdr:row>2</xdr:row>
      <xdr:rowOff>177800</xdr:rowOff>
    </xdr:to>
    <xdr:grpSp>
      <xdr:nvGrpSpPr>
        <xdr:cNvPr id="26" name="Grupo 25">
          <a:extLst>
            <a:ext uri="{FF2B5EF4-FFF2-40B4-BE49-F238E27FC236}">
              <a16:creationId xmlns:a16="http://schemas.microsoft.com/office/drawing/2014/main" id="{876656C6-563C-4FBD-8013-C76366EBD94F}"/>
            </a:ext>
          </a:extLst>
        </xdr:cNvPr>
        <xdr:cNvGrpSpPr/>
      </xdr:nvGrpSpPr>
      <xdr:grpSpPr>
        <a:xfrm>
          <a:off x="126585" y="101600"/>
          <a:ext cx="13421233" cy="428211"/>
          <a:chOff x="136524" y="104775"/>
          <a:chExt cx="13664143" cy="541867"/>
        </a:xfrm>
      </xdr:grpSpPr>
      <xdr:sp macro="" textlink="">
        <xdr:nvSpPr>
          <xdr:cNvPr id="27" name="Rectángulo: esquinas redondeadas 26">
            <a:extLst>
              <a:ext uri="{FF2B5EF4-FFF2-40B4-BE49-F238E27FC236}">
                <a16:creationId xmlns:a16="http://schemas.microsoft.com/office/drawing/2014/main" id="{BC3F1DEF-5006-C3C8-4F43-63B1A1954DEE}"/>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8" name="CuadroTexto 27">
            <a:extLst>
              <a:ext uri="{FF2B5EF4-FFF2-40B4-BE49-F238E27FC236}">
                <a16:creationId xmlns:a16="http://schemas.microsoft.com/office/drawing/2014/main" id="{998F115A-5923-7E34-713B-A42BBF5C1364}"/>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SIFECHA</a:t>
            </a:r>
          </a:p>
        </xdr:txBody>
      </xdr:sp>
      <xdr:pic>
        <xdr:nvPicPr>
          <xdr:cNvPr id="29" name="Gráfico 28" descr="Search Inventory con relleno sólido">
            <a:extLst>
              <a:ext uri="{FF2B5EF4-FFF2-40B4-BE49-F238E27FC236}">
                <a16:creationId xmlns:a16="http://schemas.microsoft.com/office/drawing/2014/main" id="{B1E00B1B-C347-AE70-AA94-8E4110E858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7500" y="133350"/>
            <a:ext cx="447675" cy="456142"/>
          </a:xfrm>
          <a:prstGeom prst="rect">
            <a:avLst/>
          </a:prstGeom>
        </xdr:spPr>
      </xdr:pic>
      <xdr:pic>
        <xdr:nvPicPr>
          <xdr:cNvPr id="30" name="Gráfico 29" descr="Circle with left arrow con relleno sólido">
            <a:hlinkClick xmlns:r="http://schemas.openxmlformats.org/officeDocument/2006/relationships" r:id="rId5"/>
            <a:extLst>
              <a:ext uri="{FF2B5EF4-FFF2-40B4-BE49-F238E27FC236}">
                <a16:creationId xmlns:a16="http://schemas.microsoft.com/office/drawing/2014/main" id="{9698E25F-B2AF-02F7-85E6-055B687943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313835" y="137584"/>
            <a:ext cx="465667" cy="465667"/>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9</xdr:col>
      <xdr:colOff>1274762</xdr:colOff>
      <xdr:row>61</xdr:row>
      <xdr:rowOff>53975</xdr:rowOff>
    </xdr:to>
    <xdr:sp macro="" textlink="">
      <xdr:nvSpPr>
        <xdr:cNvPr id="2" name="Rectángulo: esquinas redondeadas 1">
          <a:extLst>
            <a:ext uri="{FF2B5EF4-FFF2-40B4-BE49-F238E27FC236}">
              <a16:creationId xmlns:a16="http://schemas.microsoft.com/office/drawing/2014/main" id="{CBA375C5-ADA1-4C0D-95A8-A5DA8C819FBA}"/>
            </a:ext>
          </a:extLst>
        </xdr:cNvPr>
        <xdr:cNvSpPr/>
      </xdr:nvSpPr>
      <xdr:spPr>
        <a:xfrm>
          <a:off x="126999" y="76200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9</xdr:col>
      <xdr:colOff>1317977</xdr:colOff>
      <xdr:row>62</xdr:row>
      <xdr:rowOff>111124</xdr:rowOff>
    </xdr:to>
    <xdr:sp macro="" textlink="">
      <xdr:nvSpPr>
        <xdr:cNvPr id="3" name="Rectángulo: esquinas redondeadas 2">
          <a:extLst>
            <a:ext uri="{FF2B5EF4-FFF2-40B4-BE49-F238E27FC236}">
              <a16:creationId xmlns:a16="http://schemas.microsoft.com/office/drawing/2014/main" id="{5BB8AAC9-03F3-476C-9DEE-BA1C24A0E5A3}"/>
            </a:ext>
          </a:extLst>
        </xdr:cNvPr>
        <xdr:cNvSpPr/>
      </xdr:nvSpPr>
      <xdr:spPr>
        <a:xfrm>
          <a:off x="152398" y="1115786"/>
          <a:ext cx="13104285" cy="51117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DIA.LAB (WORKDAY en inglés) </a:t>
          </a:r>
          <a:r>
            <a:rPr lang="en-US" sz="1000" b="0">
              <a:solidFill>
                <a:schemeClr val="tx1"/>
              </a:solidFill>
              <a:latin typeface="Montserrat" panose="00000500000000000000" pitchFamily="2" charset="0"/>
              <a:ea typeface="+mn-ea"/>
              <a:cs typeface="+mn-cs"/>
            </a:rPr>
            <a:t>es una función en Excel que calcula una fecha futura o pasada excluyendo fines de semana y, opcionalmente, un conjunto específico de fechas festivas. Esta función es muy útil en la gestión de proyectos y la planificación para calcular fechas de entrega, al considerar solo los días laborables en el cálculo.</a:t>
          </a:r>
        </a:p>
      </xdr:txBody>
    </xdr:sp>
    <xdr:clientData/>
  </xdr:twoCellAnchor>
  <xdr:twoCellAnchor editAs="oneCell">
    <xdr:from>
      <xdr:col>0</xdr:col>
      <xdr:colOff>123824</xdr:colOff>
      <xdr:row>8</xdr:row>
      <xdr:rowOff>57150</xdr:rowOff>
    </xdr:from>
    <xdr:to>
      <xdr:col>9</xdr:col>
      <xdr:colOff>1274762</xdr:colOff>
      <xdr:row>61</xdr:row>
      <xdr:rowOff>53975</xdr:rowOff>
    </xdr:to>
    <xdr:sp macro="" textlink="">
      <xdr:nvSpPr>
        <xdr:cNvPr id="4" name="Rectángulo: esquinas redondeadas 3">
          <a:extLst>
            <a:ext uri="{FF2B5EF4-FFF2-40B4-BE49-F238E27FC236}">
              <a16:creationId xmlns:a16="http://schemas.microsoft.com/office/drawing/2014/main" id="{313EF2B3-9247-44B0-8D9C-482C456B6C4A}"/>
            </a:ext>
          </a:extLst>
        </xdr:cNvPr>
        <xdr:cNvSpPr/>
      </xdr:nvSpPr>
      <xdr:spPr>
        <a:xfrm>
          <a:off x="126999" y="173355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9</xdr:col>
      <xdr:colOff>1274762</xdr:colOff>
      <xdr:row>61</xdr:row>
      <xdr:rowOff>53975</xdr:rowOff>
    </xdr:to>
    <xdr:sp macro="" textlink="">
      <xdr:nvSpPr>
        <xdr:cNvPr id="5" name="Rectángulo: esquinas redondeadas 4">
          <a:extLst>
            <a:ext uri="{FF2B5EF4-FFF2-40B4-BE49-F238E27FC236}">
              <a16:creationId xmlns:a16="http://schemas.microsoft.com/office/drawing/2014/main" id="{9CFB51EB-6938-4E5B-A875-A548BA1A228F}"/>
            </a:ext>
          </a:extLst>
        </xdr:cNvPr>
        <xdr:cNvSpPr/>
      </xdr:nvSpPr>
      <xdr:spPr>
        <a:xfrm>
          <a:off x="126999" y="3581400"/>
          <a:ext cx="13083294"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10584</xdr:colOff>
      <xdr:row>37</xdr:row>
      <xdr:rowOff>116417</xdr:rowOff>
    </xdr:from>
    <xdr:to>
      <xdr:col>9</xdr:col>
      <xdr:colOff>1311628</xdr:colOff>
      <xdr:row>61</xdr:row>
      <xdr:rowOff>53975</xdr:rowOff>
    </xdr:to>
    <xdr:sp macro="" textlink="">
      <xdr:nvSpPr>
        <xdr:cNvPr id="6" name="Rectángulo: esquinas redondeadas 5">
          <a:extLst>
            <a:ext uri="{FF2B5EF4-FFF2-40B4-BE49-F238E27FC236}">
              <a16:creationId xmlns:a16="http://schemas.microsoft.com/office/drawing/2014/main" id="{CF741317-C596-4FA8-B586-89D9E49F3EED}"/>
            </a:ext>
          </a:extLst>
        </xdr:cNvPr>
        <xdr:cNvSpPr/>
      </xdr:nvSpPr>
      <xdr:spPr>
        <a:xfrm>
          <a:off x="137584" y="8731250"/>
          <a:ext cx="13599583" cy="27728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41</xdr:row>
      <xdr:rowOff>190500</xdr:rowOff>
    </xdr:from>
    <xdr:to>
      <xdr:col>9</xdr:col>
      <xdr:colOff>1329618</xdr:colOff>
      <xdr:row>62</xdr:row>
      <xdr:rowOff>111476</xdr:rowOff>
    </xdr:to>
    <xdr:sp macro="" textlink="">
      <xdr:nvSpPr>
        <xdr:cNvPr id="7" name="Rectángulo: esquinas redondeadas 6">
          <a:extLst>
            <a:ext uri="{FF2B5EF4-FFF2-40B4-BE49-F238E27FC236}">
              <a16:creationId xmlns:a16="http://schemas.microsoft.com/office/drawing/2014/main" id="{81F07FBB-0717-493E-BA92-80F2067705A6}"/>
            </a:ext>
          </a:extLst>
        </xdr:cNvPr>
        <xdr:cNvSpPr/>
      </xdr:nvSpPr>
      <xdr:spPr>
        <a:xfrm>
          <a:off x="95249" y="19335750"/>
          <a:ext cx="13173075" cy="50482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Agrega</a:t>
          </a:r>
          <a:r>
            <a:rPr lang="en-US" sz="1000" b="0" baseline="0">
              <a:solidFill>
                <a:schemeClr val="tx1"/>
              </a:solidFill>
              <a:latin typeface="Montserrat" panose="00000500000000000000" pitchFamily="2" charset="0"/>
              <a:ea typeface="+mn-ea"/>
              <a:cs typeface="+mn-cs"/>
            </a:rPr>
            <a:t> 15 días laborables a cada fecha</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9524</xdr:colOff>
      <xdr:row>0</xdr:row>
      <xdr:rowOff>104775</xdr:rowOff>
    </xdr:from>
    <xdr:to>
      <xdr:col>9</xdr:col>
      <xdr:colOff>1368778</xdr:colOff>
      <xdr:row>62</xdr:row>
      <xdr:rowOff>98425</xdr:rowOff>
    </xdr:to>
    <xdr:grpSp>
      <xdr:nvGrpSpPr>
        <xdr:cNvPr id="8" name="Grupo 7">
          <a:extLst>
            <a:ext uri="{FF2B5EF4-FFF2-40B4-BE49-F238E27FC236}">
              <a16:creationId xmlns:a16="http://schemas.microsoft.com/office/drawing/2014/main" id="{DD7D82DC-FE46-443F-9602-7E5371CD6E12}"/>
            </a:ext>
          </a:extLst>
        </xdr:cNvPr>
        <xdr:cNvGrpSpPr/>
      </xdr:nvGrpSpPr>
      <xdr:grpSpPr>
        <a:xfrm>
          <a:off x="125481" y="0"/>
          <a:ext cx="12308862" cy="462860"/>
          <a:chOff x="136524" y="104775"/>
          <a:chExt cx="13664143" cy="541867"/>
        </a:xfrm>
      </xdr:grpSpPr>
      <xdr:sp macro="" textlink="">
        <xdr:nvSpPr>
          <xdr:cNvPr id="9" name="Rectángulo: esquinas redondeadas 8">
            <a:extLst>
              <a:ext uri="{FF2B5EF4-FFF2-40B4-BE49-F238E27FC236}">
                <a16:creationId xmlns:a16="http://schemas.microsoft.com/office/drawing/2014/main" id="{F6C960E7-F699-B6DA-2C7B-ABC2E2AB6F61}"/>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3ACFD16E-CB8A-DE32-7800-246630844672}"/>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DIA.LAB</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A52B2E57-B198-66EB-0830-60E35193F5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0</xdr:col>
      <xdr:colOff>39158</xdr:colOff>
      <xdr:row>70</xdr:row>
      <xdr:rowOff>144991</xdr:rowOff>
    </xdr:from>
    <xdr:to>
      <xdr:col>9</xdr:col>
      <xdr:colOff>1203854</xdr:colOff>
      <xdr:row>72</xdr:row>
      <xdr:rowOff>15872</xdr:rowOff>
    </xdr:to>
    <xdr:sp macro="" textlink="">
      <xdr:nvSpPr>
        <xdr:cNvPr id="12" name="Rectángulo: esquinas redondeadas 11">
          <a:extLst>
            <a:ext uri="{FF2B5EF4-FFF2-40B4-BE49-F238E27FC236}">
              <a16:creationId xmlns:a16="http://schemas.microsoft.com/office/drawing/2014/main" id="{234B696A-132E-410B-9EF3-B5DD61DB8E38}"/>
            </a:ext>
          </a:extLst>
        </xdr:cNvPr>
        <xdr:cNvSpPr/>
      </xdr:nvSpPr>
      <xdr:spPr>
        <a:xfrm>
          <a:off x="39158" y="1944158"/>
          <a:ext cx="12224279" cy="23071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0</xdr:col>
      <xdr:colOff>70907</xdr:colOff>
      <xdr:row>72</xdr:row>
      <xdr:rowOff>109007</xdr:rowOff>
    </xdr:from>
    <xdr:to>
      <xdr:col>11</xdr:col>
      <xdr:colOff>677334</xdr:colOff>
      <xdr:row>75</xdr:row>
      <xdr:rowOff>169332</xdr:rowOff>
    </xdr:to>
    <xdr:sp macro="" textlink="">
      <xdr:nvSpPr>
        <xdr:cNvPr id="13" name="Rectángulo: esquinas redondeadas 12">
          <a:extLst>
            <a:ext uri="{FF2B5EF4-FFF2-40B4-BE49-F238E27FC236}">
              <a16:creationId xmlns:a16="http://schemas.microsoft.com/office/drawing/2014/main" id="{E6FA3975-2259-4033-9A5E-5801D1C5201F}"/>
            </a:ext>
          </a:extLst>
        </xdr:cNvPr>
        <xdr:cNvSpPr/>
      </xdr:nvSpPr>
      <xdr:spPr>
        <a:xfrm>
          <a:off x="70907" y="2268007"/>
          <a:ext cx="15888760" cy="60007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DIAS.LAB (NETWORKDAYS en inglés)</a:t>
          </a:r>
          <a:r>
            <a:rPr lang="en-US" sz="1000" b="0">
              <a:solidFill>
                <a:schemeClr val="tx1"/>
              </a:solidFill>
              <a:latin typeface="Montserrat" panose="00000500000000000000" pitchFamily="2" charset="0"/>
              <a:ea typeface="+mn-ea"/>
              <a:cs typeface="+mn-cs"/>
            </a:rPr>
            <a:t> es una función en Excel que calcula el número de días laborables entre dos fechas, incluyendo ambas fechas en el cálculo. Los días laborables típicamente excluyen los fines de semana (sábado y domingo) y pueden excluir también días festivos especificados por el usuario. Esta función es útil para calcular el número de días de trabajo en un rango de fechas, lo cual es común en la planificación de proyectos y el cálculo de plazos.</a:t>
          </a:r>
        </a:p>
      </xdr:txBody>
    </xdr:sp>
    <xdr:clientData/>
  </xdr:twoCellAnchor>
  <xdr:twoCellAnchor editAs="oneCell">
    <xdr:from>
      <xdr:col>0</xdr:col>
      <xdr:colOff>88901</xdr:colOff>
      <xdr:row>76</xdr:row>
      <xdr:rowOff>55033</xdr:rowOff>
    </xdr:from>
    <xdr:to>
      <xdr:col>9</xdr:col>
      <xdr:colOff>1256772</xdr:colOff>
      <xdr:row>77</xdr:row>
      <xdr:rowOff>100544</xdr:rowOff>
    </xdr:to>
    <xdr:sp macro="" textlink="">
      <xdr:nvSpPr>
        <xdr:cNvPr id="14" name="Rectángulo: esquinas redondeadas 13">
          <a:extLst>
            <a:ext uri="{FF2B5EF4-FFF2-40B4-BE49-F238E27FC236}">
              <a16:creationId xmlns:a16="http://schemas.microsoft.com/office/drawing/2014/main" id="{9C7E4E0E-FEF1-47B0-B34C-788B5BE81CBD}"/>
            </a:ext>
          </a:extLst>
        </xdr:cNvPr>
        <xdr:cNvSpPr/>
      </xdr:nvSpPr>
      <xdr:spPr>
        <a:xfrm>
          <a:off x="88901" y="2933700"/>
          <a:ext cx="12227454" cy="22542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83</xdr:row>
      <xdr:rowOff>147108</xdr:rowOff>
    </xdr:from>
    <xdr:to>
      <xdr:col>9</xdr:col>
      <xdr:colOff>1309688</xdr:colOff>
      <xdr:row>84</xdr:row>
      <xdr:rowOff>182033</xdr:rowOff>
    </xdr:to>
    <xdr:sp macro="" textlink="">
      <xdr:nvSpPr>
        <xdr:cNvPr id="15" name="Rectángulo: esquinas redondeadas 14">
          <a:extLst>
            <a:ext uri="{FF2B5EF4-FFF2-40B4-BE49-F238E27FC236}">
              <a16:creationId xmlns:a16="http://schemas.microsoft.com/office/drawing/2014/main" id="{215EBC81-D9FD-42CF-856A-8CDC5DE80C9E}"/>
            </a:ext>
          </a:extLst>
        </xdr:cNvPr>
        <xdr:cNvSpPr/>
      </xdr:nvSpPr>
      <xdr:spPr>
        <a:xfrm>
          <a:off x="149225" y="28433183"/>
          <a:ext cx="13099169" cy="25717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xdr:colOff>
      <xdr:row>105</xdr:row>
      <xdr:rowOff>53975</xdr:rowOff>
    </xdr:from>
    <xdr:to>
      <xdr:col>9</xdr:col>
      <xdr:colOff>1310570</xdr:colOff>
      <xdr:row>106</xdr:row>
      <xdr:rowOff>111123</xdr:rowOff>
    </xdr:to>
    <xdr:sp macro="" textlink="">
      <xdr:nvSpPr>
        <xdr:cNvPr id="16" name="Rectángulo: esquinas redondeadas 15">
          <a:extLst>
            <a:ext uri="{FF2B5EF4-FFF2-40B4-BE49-F238E27FC236}">
              <a16:creationId xmlns:a16="http://schemas.microsoft.com/office/drawing/2014/main" id="{EA7F3A90-FFE8-4E72-94A0-EB2FF642E618}"/>
            </a:ext>
          </a:extLst>
        </xdr:cNvPr>
        <xdr:cNvSpPr/>
      </xdr:nvSpPr>
      <xdr:spPr>
        <a:xfrm>
          <a:off x="127001" y="24501475"/>
          <a:ext cx="13602758" cy="27728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74084</xdr:colOff>
      <xdr:row>109</xdr:row>
      <xdr:rowOff>85724</xdr:rowOff>
    </xdr:from>
    <xdr:to>
      <xdr:col>9</xdr:col>
      <xdr:colOff>1317978</xdr:colOff>
      <xdr:row>112</xdr:row>
      <xdr:rowOff>2987</xdr:rowOff>
    </xdr:to>
    <xdr:sp macro="" textlink="">
      <xdr:nvSpPr>
        <xdr:cNvPr id="17" name="Rectángulo: esquinas redondeadas 16">
          <a:extLst>
            <a:ext uri="{FF2B5EF4-FFF2-40B4-BE49-F238E27FC236}">
              <a16:creationId xmlns:a16="http://schemas.microsoft.com/office/drawing/2014/main" id="{9F1489B2-9EF1-4105-9628-A1E701DA8267}"/>
            </a:ext>
          </a:extLst>
        </xdr:cNvPr>
        <xdr:cNvSpPr/>
      </xdr:nvSpPr>
      <xdr:spPr>
        <a:xfrm>
          <a:off x="74084" y="25464557"/>
          <a:ext cx="13672608" cy="571498"/>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días laborables contemplando la tabla de vacaciones</a:t>
          </a:r>
        </a:p>
      </xdr:txBody>
    </xdr:sp>
    <xdr:clientData/>
  </xdr:twoCellAnchor>
  <xdr:twoCellAnchor editAs="oneCell">
    <xdr:from>
      <xdr:col>0</xdr:col>
      <xdr:colOff>0</xdr:colOff>
      <xdr:row>67</xdr:row>
      <xdr:rowOff>148167</xdr:rowOff>
    </xdr:from>
    <xdr:to>
      <xdr:col>9</xdr:col>
      <xdr:colOff>1252362</xdr:colOff>
      <xdr:row>70</xdr:row>
      <xdr:rowOff>41275</xdr:rowOff>
    </xdr:to>
    <xdr:grpSp>
      <xdr:nvGrpSpPr>
        <xdr:cNvPr id="18" name="Grupo 17">
          <a:extLst>
            <a:ext uri="{FF2B5EF4-FFF2-40B4-BE49-F238E27FC236}">
              <a16:creationId xmlns:a16="http://schemas.microsoft.com/office/drawing/2014/main" id="{6A8BBDD9-EF8C-4EC2-A3D6-BBB942DCB3B7}"/>
            </a:ext>
          </a:extLst>
        </xdr:cNvPr>
        <xdr:cNvGrpSpPr/>
      </xdr:nvGrpSpPr>
      <xdr:grpSpPr>
        <a:xfrm>
          <a:off x="0" y="1423689"/>
          <a:ext cx="12317927" cy="439760"/>
          <a:chOff x="136524" y="104775"/>
          <a:chExt cx="13664143" cy="541867"/>
        </a:xfrm>
      </xdr:grpSpPr>
      <xdr:sp macro="" textlink="">
        <xdr:nvSpPr>
          <xdr:cNvPr id="19" name="Rectángulo: esquinas redondeadas 18">
            <a:extLst>
              <a:ext uri="{FF2B5EF4-FFF2-40B4-BE49-F238E27FC236}">
                <a16:creationId xmlns:a16="http://schemas.microsoft.com/office/drawing/2014/main" id="{C8119643-99B8-5819-63DF-73BBCA68280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0" name="CuadroTexto 19">
            <a:extLst>
              <a:ext uri="{FF2B5EF4-FFF2-40B4-BE49-F238E27FC236}">
                <a16:creationId xmlns:a16="http://schemas.microsoft.com/office/drawing/2014/main" id="{74231E7C-B10B-0811-DC67-029910D08E1D}"/>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DIAS.LAB</a:t>
            </a:r>
          </a:p>
        </xdr:txBody>
      </xdr:sp>
      <xdr:pic>
        <xdr:nvPicPr>
          <xdr:cNvPr id="21" name="Gráfico 20" descr="Search Inventory con relleno sólido">
            <a:extLst>
              <a:ext uri="{FF2B5EF4-FFF2-40B4-BE49-F238E27FC236}">
                <a16:creationId xmlns:a16="http://schemas.microsoft.com/office/drawing/2014/main" id="{4ACF36D2-B5A5-A19D-73A9-07EEA1A4B1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2" name="Gráfico 21" descr="Circle with left arrow con relleno sólido">
            <a:hlinkClick xmlns:r="http://schemas.openxmlformats.org/officeDocument/2006/relationships" r:id="rId1"/>
            <a:extLst>
              <a:ext uri="{FF2B5EF4-FFF2-40B4-BE49-F238E27FC236}">
                <a16:creationId xmlns:a16="http://schemas.microsoft.com/office/drawing/2014/main" id="{53A631A5-5853-2B72-4607-43FEFDF1E8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73932</xdr:colOff>
      <xdr:row>62</xdr:row>
      <xdr:rowOff>158751</xdr:rowOff>
    </xdr:from>
    <xdr:to>
      <xdr:col>7</xdr:col>
      <xdr:colOff>1286380</xdr:colOff>
      <xdr:row>68</xdr:row>
      <xdr:rowOff>161067</xdr:rowOff>
    </xdr:to>
    <xdr:grpSp>
      <xdr:nvGrpSpPr>
        <xdr:cNvPr id="23" name="Grupo 22">
          <a:extLst>
            <a:ext uri="{FF2B5EF4-FFF2-40B4-BE49-F238E27FC236}">
              <a16:creationId xmlns:a16="http://schemas.microsoft.com/office/drawing/2014/main" id="{4F1CFA62-9FD2-4CDF-8117-B14FA09A198C}"/>
            </a:ext>
          </a:extLst>
        </xdr:cNvPr>
        <xdr:cNvGrpSpPr/>
      </xdr:nvGrpSpPr>
      <xdr:grpSpPr>
        <a:xfrm>
          <a:off x="189889" y="523186"/>
          <a:ext cx="7763991" cy="1095620"/>
          <a:chOff x="276225" y="352425"/>
          <a:chExt cx="9029702" cy="1198618"/>
        </a:xfrm>
      </xdr:grpSpPr>
      <xdr:grpSp>
        <xdr:nvGrpSpPr>
          <xdr:cNvPr id="24" name="Grupo 23">
            <a:extLst>
              <a:ext uri="{FF2B5EF4-FFF2-40B4-BE49-F238E27FC236}">
                <a16:creationId xmlns:a16="http://schemas.microsoft.com/office/drawing/2014/main" id="{5709D0A1-5335-1A3A-2558-C6D1DEDDAD71}"/>
              </a:ext>
            </a:extLst>
          </xdr:cNvPr>
          <xdr:cNvGrpSpPr/>
        </xdr:nvGrpSpPr>
        <xdr:grpSpPr>
          <a:xfrm>
            <a:off x="276225" y="352425"/>
            <a:ext cx="9029702" cy="352426"/>
            <a:chOff x="142874" y="2266950"/>
            <a:chExt cx="9029702" cy="352426"/>
          </a:xfrm>
        </xdr:grpSpPr>
        <xdr:sp macro="" textlink="">
          <xdr:nvSpPr>
            <xdr:cNvPr id="32" name="Rectángulo: esquinas redondeadas 31">
              <a:extLst>
                <a:ext uri="{FF2B5EF4-FFF2-40B4-BE49-F238E27FC236}">
                  <a16:creationId xmlns:a16="http://schemas.microsoft.com/office/drawing/2014/main" id="{55EBE6EA-0EE5-53D0-23B3-931A715D7C19}"/>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3" name="Rectángulo: esquinas redondeadas 32">
              <a:extLst>
                <a:ext uri="{FF2B5EF4-FFF2-40B4-BE49-F238E27FC236}">
                  <a16:creationId xmlns:a16="http://schemas.microsoft.com/office/drawing/2014/main" id="{8D977090-F197-7B80-D5C3-2DDD3C576BD9}"/>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DIA.LAB</a:t>
              </a:r>
            </a:p>
          </xdr:txBody>
        </xdr:sp>
        <xdr:sp macro="" textlink="">
          <xdr:nvSpPr>
            <xdr:cNvPr id="34" name="Rectángulo: esquinas redondeadas 33">
              <a:extLst>
                <a:ext uri="{FF2B5EF4-FFF2-40B4-BE49-F238E27FC236}">
                  <a16:creationId xmlns:a16="http://schemas.microsoft.com/office/drawing/2014/main" id="{8FA4D4A2-967A-CA6C-79C7-7685FC614700}"/>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5" name="Rectángulo: esquinas redondeadas 34">
              <a:extLst>
                <a:ext uri="{FF2B5EF4-FFF2-40B4-BE49-F238E27FC236}">
                  <a16:creationId xmlns:a16="http://schemas.microsoft.com/office/drawing/2014/main" id="{64E03DCE-220A-7E8C-D3B7-930A0971BBAC}"/>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r>
                <a:rPr lang="en-US" sz="1000" baseline="0">
                  <a:solidFill>
                    <a:schemeClr val="tx1"/>
                  </a:solidFill>
                  <a:latin typeface="Montserrat" panose="00000500000000000000" pitchFamily="2" charset="0"/>
                  <a:ea typeface="+mn-ea"/>
                  <a:cs typeface="+mn-cs"/>
                </a:rPr>
                <a:t> Inicial</a:t>
              </a:r>
              <a:endParaRPr lang="en-US" sz="1000">
                <a:solidFill>
                  <a:schemeClr val="tx1"/>
                </a:solidFill>
                <a:latin typeface="Montserrat" panose="00000500000000000000" pitchFamily="2" charset="0"/>
                <a:ea typeface="+mn-ea"/>
                <a:cs typeface="+mn-cs"/>
              </a:endParaRPr>
            </a:p>
          </xdr:txBody>
        </xdr:sp>
        <xdr:sp macro="" textlink="">
          <xdr:nvSpPr>
            <xdr:cNvPr id="36" name="Rectángulo: esquinas redondeadas 35">
              <a:extLst>
                <a:ext uri="{FF2B5EF4-FFF2-40B4-BE49-F238E27FC236}">
                  <a16:creationId xmlns:a16="http://schemas.microsoft.com/office/drawing/2014/main" id="{42DA21B1-55CA-1E37-E1C0-EC67274E0ABB}"/>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Dias</a:t>
              </a:r>
            </a:p>
          </xdr:txBody>
        </xdr:sp>
        <xdr:sp macro="" textlink="">
          <xdr:nvSpPr>
            <xdr:cNvPr id="37" name="Rectángulo: esquinas redondeadas 36">
              <a:extLst>
                <a:ext uri="{FF2B5EF4-FFF2-40B4-BE49-F238E27FC236}">
                  <a16:creationId xmlns:a16="http://schemas.microsoft.com/office/drawing/2014/main" id="{CAD45C09-5C65-04A9-85A6-DCA4140567C8}"/>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Vacaciones</a:t>
              </a:r>
            </a:p>
          </xdr:txBody>
        </xdr:sp>
        <xdr:sp macro="" textlink="">
          <xdr:nvSpPr>
            <xdr:cNvPr id="38" name="Rectángulo: esquinas redondeadas 37">
              <a:extLst>
                <a:ext uri="{FF2B5EF4-FFF2-40B4-BE49-F238E27FC236}">
                  <a16:creationId xmlns:a16="http://schemas.microsoft.com/office/drawing/2014/main" id="{56453B92-A0A3-7FF6-1F82-7BD2F376DF40}"/>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9" name="Rectángulo: esquinas redondeadas 38">
              <a:extLst>
                <a:ext uri="{FF2B5EF4-FFF2-40B4-BE49-F238E27FC236}">
                  <a16:creationId xmlns:a16="http://schemas.microsoft.com/office/drawing/2014/main" id="{D6814DC5-D18C-B189-7F6D-5B48AA74D4FF}"/>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0" name="Rectángulo: esquinas redondeadas 39">
              <a:extLst>
                <a:ext uri="{FF2B5EF4-FFF2-40B4-BE49-F238E27FC236}">
                  <a16:creationId xmlns:a16="http://schemas.microsoft.com/office/drawing/2014/main" id="{970990FD-15C3-3DA0-94DA-0EAC412E86B9}"/>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25" name="Grupo 24">
            <a:extLst>
              <a:ext uri="{FF2B5EF4-FFF2-40B4-BE49-F238E27FC236}">
                <a16:creationId xmlns:a16="http://schemas.microsoft.com/office/drawing/2014/main" id="{EB605377-CA2F-0FE3-9BE5-196D4C4794DA}"/>
              </a:ext>
            </a:extLst>
          </xdr:cNvPr>
          <xdr:cNvGrpSpPr/>
        </xdr:nvGrpSpPr>
        <xdr:grpSpPr>
          <a:xfrm>
            <a:off x="2324100" y="819150"/>
            <a:ext cx="6580575" cy="731893"/>
            <a:chOff x="2190749" y="2847975"/>
            <a:chExt cx="6580575" cy="731893"/>
          </a:xfrm>
        </xdr:grpSpPr>
        <xdr:sp macro="" textlink="">
          <xdr:nvSpPr>
            <xdr:cNvPr id="26" name="Rectángulo: esquinas redondeadas 25">
              <a:extLst>
                <a:ext uri="{FF2B5EF4-FFF2-40B4-BE49-F238E27FC236}">
                  <a16:creationId xmlns:a16="http://schemas.microsoft.com/office/drawing/2014/main" id="{D2783541-EEF1-294A-8385-B2DFEC1959CE}"/>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desde la cual se empezará a contar. Debe ser una fecha válida en formato reconocido por Excel.</a:t>
              </a:r>
            </a:p>
          </xdr:txBody>
        </xdr:sp>
        <xdr:pic>
          <xdr:nvPicPr>
            <xdr:cNvPr id="27" name="Gráfico 26" descr="Information con relleno sólido">
              <a:extLst>
                <a:ext uri="{FF2B5EF4-FFF2-40B4-BE49-F238E27FC236}">
                  <a16:creationId xmlns:a16="http://schemas.microsoft.com/office/drawing/2014/main" id="{7325EA19-BEB7-76B3-D118-C04404BF16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28" name="Rectángulo: esquinas redondeadas 27">
              <a:extLst>
                <a:ext uri="{FF2B5EF4-FFF2-40B4-BE49-F238E27FC236}">
                  <a16:creationId xmlns:a16="http://schemas.microsoft.com/office/drawing/2014/main" id="{CCBCFAB2-C6E3-798B-70D2-F3822A8F8A6D}"/>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días laborables a añadir o sustraer de la fecha_inicial. Un valor positivo calcula una fecha futura; un valor negativo, una fecha pasada.</a:t>
              </a:r>
            </a:p>
          </xdr:txBody>
        </xdr:sp>
        <xdr:pic>
          <xdr:nvPicPr>
            <xdr:cNvPr id="29" name="Gráfico 28" descr="Information con relleno sólido">
              <a:extLst>
                <a:ext uri="{FF2B5EF4-FFF2-40B4-BE49-F238E27FC236}">
                  <a16:creationId xmlns:a16="http://schemas.microsoft.com/office/drawing/2014/main" id="{AD3F1A79-F010-7D73-E886-FC514B0F70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30" name="Rectángulo: esquinas redondeadas 29">
              <a:extLst>
                <a:ext uri="{FF2B5EF4-FFF2-40B4-BE49-F238E27FC236}">
                  <a16:creationId xmlns:a16="http://schemas.microsoft.com/office/drawing/2014/main" id="{8A325F90-B464-A149-60B3-87F618D7F9E3}"/>
                </a:ext>
              </a:extLst>
            </xdr:cNvPr>
            <xdr:cNvSpPr/>
          </xdr:nvSpPr>
          <xdr:spPr>
            <a:xfrm>
              <a:off x="6791324" y="2847975"/>
              <a:ext cx="1980000" cy="73189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Un rango de celdas que contiene las fechas de los días festivos que se deben excluir del cálculo. Estos días son tratados como no laborables, además de los fines de semana.</a:t>
              </a:r>
            </a:p>
          </xdr:txBody>
        </xdr:sp>
        <xdr:pic>
          <xdr:nvPicPr>
            <xdr:cNvPr id="31" name="Gráfico 30" descr="Information con relleno sólido">
              <a:extLst>
                <a:ext uri="{FF2B5EF4-FFF2-40B4-BE49-F238E27FC236}">
                  <a16:creationId xmlns:a16="http://schemas.microsoft.com/office/drawing/2014/main" id="{DBAB593C-53F4-7F57-857A-0720809891D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20108</xdr:colOff>
      <xdr:row>131</xdr:row>
      <xdr:rowOff>197908</xdr:rowOff>
    </xdr:from>
    <xdr:to>
      <xdr:col>9</xdr:col>
      <xdr:colOff>1310746</xdr:colOff>
      <xdr:row>132</xdr:row>
      <xdr:rowOff>153335</xdr:rowOff>
    </xdr:to>
    <xdr:sp macro="" textlink="">
      <xdr:nvSpPr>
        <xdr:cNvPr id="56" name="Rectángulo: esquinas redondeadas 55">
          <a:extLst>
            <a:ext uri="{FF2B5EF4-FFF2-40B4-BE49-F238E27FC236}">
              <a16:creationId xmlns:a16="http://schemas.microsoft.com/office/drawing/2014/main" id="{C466BF4E-2A34-42FC-B510-3C840EFA12AC}"/>
            </a:ext>
          </a:extLst>
        </xdr:cNvPr>
        <xdr:cNvSpPr/>
      </xdr:nvSpPr>
      <xdr:spPr>
        <a:xfrm>
          <a:off x="143933" y="36853283"/>
          <a:ext cx="13102344" cy="25505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133</xdr:row>
      <xdr:rowOff>77258</xdr:rowOff>
    </xdr:from>
    <xdr:to>
      <xdr:col>9</xdr:col>
      <xdr:colOff>1338086</xdr:colOff>
      <xdr:row>135</xdr:row>
      <xdr:rowOff>116694</xdr:rowOff>
    </xdr:to>
    <xdr:sp macro="" textlink="">
      <xdr:nvSpPr>
        <xdr:cNvPr id="57" name="Rectángulo: esquinas redondeadas 56">
          <a:extLst>
            <a:ext uri="{FF2B5EF4-FFF2-40B4-BE49-F238E27FC236}">
              <a16:creationId xmlns:a16="http://schemas.microsoft.com/office/drawing/2014/main" id="{21F1509E-EF4E-46BF-BB02-2B79F2071B78}"/>
            </a:ext>
          </a:extLst>
        </xdr:cNvPr>
        <xdr:cNvSpPr/>
      </xdr:nvSpPr>
      <xdr:spPr>
        <a:xfrm>
          <a:off x="172507" y="37186658"/>
          <a:ext cx="13104285" cy="61700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DIAS.LAB.INTL (NETWORKDAYS.INTL en inglés) </a:t>
          </a:r>
          <a:r>
            <a:rPr lang="en-US" sz="1000" b="0">
              <a:solidFill>
                <a:schemeClr val="tx1"/>
              </a:solidFill>
              <a:latin typeface="Montserrat" panose="00000500000000000000" pitchFamily="2" charset="0"/>
              <a:ea typeface="+mn-ea"/>
              <a:cs typeface="+mn-cs"/>
            </a:rPr>
            <a:t>extiende la funcionalidad de la función DIAS.LAB, permitiendo a los usuarios definir qué días de la semana se consideran fines de semana. Esto es particularmente útil en contextos internacionales donde los días laborables pueden variar entre países o incluso entre diferentes industrias o culturas. La función calcula el número de días laborables entre dos fechas dadas, permitiendo la personalización de los días que se consideran no laborables además de la posibilidad de excluir días festivos específicos.</a:t>
          </a:r>
        </a:p>
      </xdr:txBody>
    </xdr:sp>
    <xdr:clientData/>
  </xdr:twoCellAnchor>
  <xdr:twoCellAnchor editAs="oneCell">
    <xdr:from>
      <xdr:col>1</xdr:col>
      <xdr:colOff>0</xdr:colOff>
      <xdr:row>136</xdr:row>
      <xdr:rowOff>150282</xdr:rowOff>
    </xdr:from>
    <xdr:to>
      <xdr:col>9</xdr:col>
      <xdr:colOff>1290638</xdr:colOff>
      <xdr:row>137</xdr:row>
      <xdr:rowOff>127045</xdr:rowOff>
    </xdr:to>
    <xdr:sp macro="" textlink="">
      <xdr:nvSpPr>
        <xdr:cNvPr id="58" name="Rectángulo: esquinas redondeadas 57">
          <a:extLst>
            <a:ext uri="{FF2B5EF4-FFF2-40B4-BE49-F238E27FC236}">
              <a16:creationId xmlns:a16="http://schemas.microsoft.com/office/drawing/2014/main" id="{8BE7EF35-D69A-458B-98F4-92B4410B7DAB}"/>
            </a:ext>
          </a:extLst>
        </xdr:cNvPr>
        <xdr:cNvSpPr/>
      </xdr:nvSpPr>
      <xdr:spPr>
        <a:xfrm>
          <a:off x="123825" y="37926432"/>
          <a:ext cx="13105519" cy="24235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9525</xdr:colOff>
      <xdr:row>146</xdr:row>
      <xdr:rowOff>116416</xdr:rowOff>
    </xdr:from>
    <xdr:to>
      <xdr:col>9</xdr:col>
      <xdr:colOff>1309688</xdr:colOff>
      <xdr:row>147</xdr:row>
      <xdr:rowOff>173567</xdr:rowOff>
    </xdr:to>
    <xdr:sp macro="" textlink="">
      <xdr:nvSpPr>
        <xdr:cNvPr id="59" name="Rectángulo: esquinas redondeadas 58">
          <a:extLst>
            <a:ext uri="{FF2B5EF4-FFF2-40B4-BE49-F238E27FC236}">
              <a16:creationId xmlns:a16="http://schemas.microsoft.com/office/drawing/2014/main" id="{A073297F-E45B-4406-9E90-14FE532D5998}"/>
            </a:ext>
          </a:extLst>
        </xdr:cNvPr>
        <xdr:cNvSpPr/>
      </xdr:nvSpPr>
      <xdr:spPr>
        <a:xfrm>
          <a:off x="136525" y="29411083"/>
          <a:ext cx="13112927" cy="26881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0</xdr:col>
      <xdr:colOff>91017</xdr:colOff>
      <xdr:row>166</xdr:row>
      <xdr:rowOff>89958</xdr:rowOff>
    </xdr:from>
    <xdr:to>
      <xdr:col>9</xdr:col>
      <xdr:colOff>1277761</xdr:colOff>
      <xdr:row>167</xdr:row>
      <xdr:rowOff>150281</xdr:rowOff>
    </xdr:to>
    <xdr:sp macro="" textlink="">
      <xdr:nvSpPr>
        <xdr:cNvPr id="60" name="Rectángulo: esquinas redondeadas 59">
          <a:extLst>
            <a:ext uri="{FF2B5EF4-FFF2-40B4-BE49-F238E27FC236}">
              <a16:creationId xmlns:a16="http://schemas.microsoft.com/office/drawing/2014/main" id="{442D4B1A-CCE1-4ACB-9C4C-E4B0B6ABCEEE}"/>
            </a:ext>
          </a:extLst>
        </xdr:cNvPr>
        <xdr:cNvSpPr/>
      </xdr:nvSpPr>
      <xdr:spPr>
        <a:xfrm>
          <a:off x="91017" y="38740291"/>
          <a:ext cx="13612283" cy="28998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39158</xdr:colOff>
      <xdr:row>129</xdr:row>
      <xdr:rowOff>0</xdr:rowOff>
    </xdr:from>
    <xdr:to>
      <xdr:col>9</xdr:col>
      <xdr:colOff>1407937</xdr:colOff>
      <xdr:row>130</xdr:row>
      <xdr:rowOff>153688</xdr:rowOff>
    </xdr:to>
    <xdr:grpSp>
      <xdr:nvGrpSpPr>
        <xdr:cNvPr id="61" name="Grupo 60">
          <a:extLst>
            <a:ext uri="{FF2B5EF4-FFF2-40B4-BE49-F238E27FC236}">
              <a16:creationId xmlns:a16="http://schemas.microsoft.com/office/drawing/2014/main" id="{BAB4E66F-37BF-44D4-BB73-40D1D757425F}"/>
            </a:ext>
          </a:extLst>
        </xdr:cNvPr>
        <xdr:cNvGrpSpPr/>
      </xdr:nvGrpSpPr>
      <xdr:grpSpPr>
        <a:xfrm>
          <a:off x="155115" y="13301870"/>
          <a:ext cx="12318387" cy="385601"/>
          <a:chOff x="136524" y="104775"/>
          <a:chExt cx="13664143" cy="541867"/>
        </a:xfrm>
      </xdr:grpSpPr>
      <xdr:sp macro="" textlink="">
        <xdr:nvSpPr>
          <xdr:cNvPr id="62" name="Rectángulo: esquinas redondeadas 61">
            <a:extLst>
              <a:ext uri="{FF2B5EF4-FFF2-40B4-BE49-F238E27FC236}">
                <a16:creationId xmlns:a16="http://schemas.microsoft.com/office/drawing/2014/main" id="{C0D0D496-12C5-6132-D30F-4ED9C1F2A49F}"/>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63" name="CuadroTexto 62">
            <a:extLst>
              <a:ext uri="{FF2B5EF4-FFF2-40B4-BE49-F238E27FC236}">
                <a16:creationId xmlns:a16="http://schemas.microsoft.com/office/drawing/2014/main" id="{BFD94EA5-25DA-4115-A8CE-647198FB4FDC}"/>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DIAS.LAB.INTL</a:t>
            </a:r>
          </a:p>
        </xdr:txBody>
      </xdr:sp>
      <xdr:pic>
        <xdr:nvPicPr>
          <xdr:cNvPr id="64" name="Gráfico 63" descr="Search Inventory con relleno sólido">
            <a:extLst>
              <a:ext uri="{FF2B5EF4-FFF2-40B4-BE49-F238E27FC236}">
                <a16:creationId xmlns:a16="http://schemas.microsoft.com/office/drawing/2014/main" id="{635A837F-F773-64EE-9C8D-940F5F0712F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65" name="Gráfico 64" descr="Circle with left arrow con relleno sólido">
            <a:hlinkClick xmlns:r="http://schemas.openxmlformats.org/officeDocument/2006/relationships" r:id="rId1"/>
            <a:extLst>
              <a:ext uri="{FF2B5EF4-FFF2-40B4-BE49-F238E27FC236}">
                <a16:creationId xmlns:a16="http://schemas.microsoft.com/office/drawing/2014/main" id="{782244CD-F525-0ED7-4956-477D98E141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21167</xdr:colOff>
      <xdr:row>170</xdr:row>
      <xdr:rowOff>179915</xdr:rowOff>
    </xdr:from>
    <xdr:to>
      <xdr:col>9</xdr:col>
      <xdr:colOff>1395236</xdr:colOff>
      <xdr:row>173</xdr:row>
      <xdr:rowOff>52913</xdr:rowOff>
    </xdr:to>
    <xdr:sp macro="" textlink="">
      <xdr:nvSpPr>
        <xdr:cNvPr id="79" name="Rectángulo: esquinas redondeadas 78">
          <a:extLst>
            <a:ext uri="{FF2B5EF4-FFF2-40B4-BE49-F238E27FC236}">
              <a16:creationId xmlns:a16="http://schemas.microsoft.com/office/drawing/2014/main" id="{0FD466E0-C6FF-4F5C-8F96-0E1EC118856A}"/>
            </a:ext>
          </a:extLst>
        </xdr:cNvPr>
        <xdr:cNvSpPr/>
      </xdr:nvSpPr>
      <xdr:spPr>
        <a:xfrm>
          <a:off x="148167" y="39761582"/>
          <a:ext cx="13672608" cy="57149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días laborables entre order date y delivery date considerando</a:t>
          </a:r>
          <a:r>
            <a:rPr lang="en-US" sz="1000" b="0" baseline="0">
              <a:solidFill>
                <a:schemeClr val="tx1"/>
              </a:solidFill>
              <a:latin typeface="Montserrat" panose="00000500000000000000" pitchFamily="2" charset="0"/>
              <a:ea typeface="+mn-ea"/>
              <a:cs typeface="+mn-cs"/>
            </a:rPr>
            <a:t> el el domingo como único día no laborable</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168274</xdr:colOff>
      <xdr:row>0</xdr:row>
      <xdr:rowOff>137584</xdr:rowOff>
    </xdr:from>
    <xdr:to>
      <xdr:col>1</xdr:col>
      <xdr:colOff>645583</xdr:colOff>
      <xdr:row>62</xdr:row>
      <xdr:rowOff>74105</xdr:rowOff>
    </xdr:to>
    <xdr:pic>
      <xdr:nvPicPr>
        <xdr:cNvPr id="102" name="Gráfico 101" descr="Left Brain con relleno sólido">
          <a:extLst>
            <a:ext uri="{FF2B5EF4-FFF2-40B4-BE49-F238E27FC236}">
              <a16:creationId xmlns:a16="http://schemas.microsoft.com/office/drawing/2014/main" id="{60990134-F63C-41E5-B608-D394AF2230F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88924" y="140759"/>
          <a:ext cx="474134" cy="477330"/>
        </a:xfrm>
        <a:prstGeom prst="rect">
          <a:avLst/>
        </a:prstGeom>
      </xdr:spPr>
    </xdr:pic>
    <xdr:clientData/>
  </xdr:twoCellAnchor>
  <xdr:twoCellAnchor editAs="oneCell">
    <xdr:from>
      <xdr:col>1</xdr:col>
      <xdr:colOff>31749</xdr:colOff>
      <xdr:row>78</xdr:row>
      <xdr:rowOff>31749</xdr:rowOff>
    </xdr:from>
    <xdr:to>
      <xdr:col>7</xdr:col>
      <xdr:colOff>1242686</xdr:colOff>
      <xdr:row>83</xdr:row>
      <xdr:rowOff>56225</xdr:rowOff>
    </xdr:to>
    <xdr:grpSp>
      <xdr:nvGrpSpPr>
        <xdr:cNvPr id="103" name="Grupo 102">
          <a:extLst>
            <a:ext uri="{FF2B5EF4-FFF2-40B4-BE49-F238E27FC236}">
              <a16:creationId xmlns:a16="http://schemas.microsoft.com/office/drawing/2014/main" id="{BECA45A0-7F98-4090-AB04-8C2E647ECEEF}"/>
            </a:ext>
          </a:extLst>
        </xdr:cNvPr>
        <xdr:cNvGrpSpPr/>
      </xdr:nvGrpSpPr>
      <xdr:grpSpPr>
        <a:xfrm>
          <a:off x="147706" y="3311662"/>
          <a:ext cx="7762480" cy="935563"/>
          <a:chOff x="276225" y="352425"/>
          <a:chExt cx="9029702" cy="1078725"/>
        </a:xfrm>
      </xdr:grpSpPr>
      <xdr:grpSp>
        <xdr:nvGrpSpPr>
          <xdr:cNvPr id="104" name="Grupo 103">
            <a:extLst>
              <a:ext uri="{FF2B5EF4-FFF2-40B4-BE49-F238E27FC236}">
                <a16:creationId xmlns:a16="http://schemas.microsoft.com/office/drawing/2014/main" id="{5646FFCC-6F9F-09CD-8253-21CCFA10DD5F}"/>
              </a:ext>
            </a:extLst>
          </xdr:cNvPr>
          <xdr:cNvGrpSpPr/>
        </xdr:nvGrpSpPr>
        <xdr:grpSpPr>
          <a:xfrm>
            <a:off x="276225" y="352425"/>
            <a:ext cx="9029702" cy="352426"/>
            <a:chOff x="142874" y="2266950"/>
            <a:chExt cx="9029702" cy="352426"/>
          </a:xfrm>
        </xdr:grpSpPr>
        <xdr:sp macro="" textlink="">
          <xdr:nvSpPr>
            <xdr:cNvPr id="112" name="Rectángulo: esquinas redondeadas 111">
              <a:extLst>
                <a:ext uri="{FF2B5EF4-FFF2-40B4-BE49-F238E27FC236}">
                  <a16:creationId xmlns:a16="http://schemas.microsoft.com/office/drawing/2014/main" id="{94D12F4E-D49F-F5D3-B398-1D2B54D9798E}"/>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3" name="Rectángulo: esquinas redondeadas 112">
              <a:extLst>
                <a:ext uri="{FF2B5EF4-FFF2-40B4-BE49-F238E27FC236}">
                  <a16:creationId xmlns:a16="http://schemas.microsoft.com/office/drawing/2014/main" id="{44018CEB-8F1A-CEE8-4854-56FD531AF5C1}"/>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DIAS.LAB</a:t>
              </a:r>
            </a:p>
          </xdr:txBody>
        </xdr:sp>
        <xdr:sp macro="" textlink="">
          <xdr:nvSpPr>
            <xdr:cNvPr id="114" name="Rectángulo: esquinas redondeadas 113">
              <a:extLst>
                <a:ext uri="{FF2B5EF4-FFF2-40B4-BE49-F238E27FC236}">
                  <a16:creationId xmlns:a16="http://schemas.microsoft.com/office/drawing/2014/main" id="{197847D2-70E4-F4E3-0A1F-B5DDF55BB442}"/>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5" name="Rectángulo: esquinas redondeadas 114">
              <a:extLst>
                <a:ext uri="{FF2B5EF4-FFF2-40B4-BE49-F238E27FC236}">
                  <a16:creationId xmlns:a16="http://schemas.microsoft.com/office/drawing/2014/main" id="{D778C5B0-46DB-CFF4-CF8B-B242C907F9A7}"/>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Inicial</a:t>
              </a:r>
            </a:p>
          </xdr:txBody>
        </xdr:sp>
        <xdr:sp macro="" textlink="">
          <xdr:nvSpPr>
            <xdr:cNvPr id="116" name="Rectángulo: esquinas redondeadas 115">
              <a:extLst>
                <a:ext uri="{FF2B5EF4-FFF2-40B4-BE49-F238E27FC236}">
                  <a16:creationId xmlns:a16="http://schemas.microsoft.com/office/drawing/2014/main" id="{EABAA252-2247-D39E-DE65-0955D7F88238}"/>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Final</a:t>
              </a:r>
            </a:p>
          </xdr:txBody>
        </xdr:sp>
        <xdr:sp macro="" textlink="">
          <xdr:nvSpPr>
            <xdr:cNvPr id="117" name="Rectángulo: esquinas redondeadas 116">
              <a:extLst>
                <a:ext uri="{FF2B5EF4-FFF2-40B4-BE49-F238E27FC236}">
                  <a16:creationId xmlns:a16="http://schemas.microsoft.com/office/drawing/2014/main" id="{17951CF4-8E9A-0DDE-DC40-CBFD7850071C}"/>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[Vacaciones]</a:t>
              </a:r>
            </a:p>
          </xdr:txBody>
        </xdr:sp>
        <xdr:sp macro="" textlink="">
          <xdr:nvSpPr>
            <xdr:cNvPr id="118" name="Rectángulo: esquinas redondeadas 117">
              <a:extLst>
                <a:ext uri="{FF2B5EF4-FFF2-40B4-BE49-F238E27FC236}">
                  <a16:creationId xmlns:a16="http://schemas.microsoft.com/office/drawing/2014/main" id="{EB5DB63E-2045-E6EA-E80B-EDA66A5DA030}"/>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9" name="Rectángulo: esquinas redondeadas 118">
              <a:extLst>
                <a:ext uri="{FF2B5EF4-FFF2-40B4-BE49-F238E27FC236}">
                  <a16:creationId xmlns:a16="http://schemas.microsoft.com/office/drawing/2014/main" id="{2344C562-319E-2FA8-6266-2D5B4223599E}"/>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0" name="Rectángulo: esquinas redondeadas 119">
              <a:extLst>
                <a:ext uri="{FF2B5EF4-FFF2-40B4-BE49-F238E27FC236}">
                  <a16:creationId xmlns:a16="http://schemas.microsoft.com/office/drawing/2014/main" id="{6B947F71-B9DD-FF2E-B39F-BD55101719EF}"/>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105" name="Grupo 104">
            <a:extLst>
              <a:ext uri="{FF2B5EF4-FFF2-40B4-BE49-F238E27FC236}">
                <a16:creationId xmlns:a16="http://schemas.microsoft.com/office/drawing/2014/main" id="{2A7601C8-C063-63E3-E617-A068859293F7}"/>
              </a:ext>
            </a:extLst>
          </xdr:cNvPr>
          <xdr:cNvGrpSpPr/>
        </xdr:nvGrpSpPr>
        <xdr:grpSpPr>
          <a:xfrm>
            <a:off x="2324100" y="819150"/>
            <a:ext cx="6580575" cy="612000"/>
            <a:chOff x="2190749" y="2847975"/>
            <a:chExt cx="6580575" cy="612000"/>
          </a:xfrm>
        </xdr:grpSpPr>
        <xdr:sp macro="" textlink="">
          <xdr:nvSpPr>
            <xdr:cNvPr id="106" name="Rectángulo: esquinas redondeadas 105">
              <a:extLst>
                <a:ext uri="{FF2B5EF4-FFF2-40B4-BE49-F238E27FC236}">
                  <a16:creationId xmlns:a16="http://schemas.microsoft.com/office/drawing/2014/main" id="{67EB6E0E-6FB0-5036-DBAB-99294F2A432C}"/>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inicio del período. Debe ser una fecha válida en formato reconocido por Excel.</a:t>
              </a:r>
            </a:p>
          </xdr:txBody>
        </xdr:sp>
        <xdr:pic>
          <xdr:nvPicPr>
            <xdr:cNvPr id="107" name="Gráfico 106" descr="Information con relleno sólido">
              <a:extLst>
                <a:ext uri="{FF2B5EF4-FFF2-40B4-BE49-F238E27FC236}">
                  <a16:creationId xmlns:a16="http://schemas.microsoft.com/office/drawing/2014/main" id="{8970353F-2C19-DA68-5547-7BA268C0D69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108" name="Rectángulo: esquinas redondeadas 107">
              <a:extLst>
                <a:ext uri="{FF2B5EF4-FFF2-40B4-BE49-F238E27FC236}">
                  <a16:creationId xmlns:a16="http://schemas.microsoft.com/office/drawing/2014/main" id="{5AE11713-26A8-5BF2-55E1-9308BE054C5B}"/>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finalización del período.</a:t>
              </a:r>
            </a:p>
          </xdr:txBody>
        </xdr:sp>
        <xdr:pic>
          <xdr:nvPicPr>
            <xdr:cNvPr id="109" name="Gráfico 108" descr="Information con relleno sólido">
              <a:extLst>
                <a:ext uri="{FF2B5EF4-FFF2-40B4-BE49-F238E27FC236}">
                  <a16:creationId xmlns:a16="http://schemas.microsoft.com/office/drawing/2014/main" id="{EF470D35-B2FE-022D-67F8-82B6B4079CA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110" name="Rectángulo: esquinas redondeadas 109">
              <a:extLst>
                <a:ext uri="{FF2B5EF4-FFF2-40B4-BE49-F238E27FC236}">
                  <a16:creationId xmlns:a16="http://schemas.microsoft.com/office/drawing/2014/main" id="{7C495C95-6559-F31A-59E4-01AFE9E2CC35}"/>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Un rango de celdas que contiene las fechas de los días festivos que se deben excluir del cálculo. Estos días son tratados como no laborables, además de los fines de semana.</a:t>
              </a:r>
            </a:p>
          </xdr:txBody>
        </xdr:sp>
        <xdr:pic>
          <xdr:nvPicPr>
            <xdr:cNvPr id="111" name="Gráfico 110" descr="Information con relleno sólido">
              <a:extLst>
                <a:ext uri="{FF2B5EF4-FFF2-40B4-BE49-F238E27FC236}">
                  <a16:creationId xmlns:a16="http://schemas.microsoft.com/office/drawing/2014/main" id="{CD7251E5-FB63-B1E8-9E2A-69AA209BDE1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48682</xdr:colOff>
      <xdr:row>139</xdr:row>
      <xdr:rowOff>0</xdr:rowOff>
    </xdr:from>
    <xdr:to>
      <xdr:col>8</xdr:col>
      <xdr:colOff>2343977</xdr:colOff>
      <xdr:row>146</xdr:row>
      <xdr:rowOff>99391</xdr:rowOff>
    </xdr:to>
    <xdr:grpSp>
      <xdr:nvGrpSpPr>
        <xdr:cNvPr id="121" name="Grupo 120">
          <a:extLst>
            <a:ext uri="{FF2B5EF4-FFF2-40B4-BE49-F238E27FC236}">
              <a16:creationId xmlns:a16="http://schemas.microsoft.com/office/drawing/2014/main" id="{CEE0AC2F-63E7-4041-AAC6-9B603BE75B50}"/>
            </a:ext>
          </a:extLst>
        </xdr:cNvPr>
        <xdr:cNvGrpSpPr/>
      </xdr:nvGrpSpPr>
      <xdr:grpSpPr>
        <a:xfrm>
          <a:off x="164639" y="15621000"/>
          <a:ext cx="10329425" cy="1524000"/>
          <a:chOff x="257175" y="1764506"/>
          <a:chExt cx="11412313" cy="1513417"/>
        </a:xfrm>
      </xdr:grpSpPr>
      <xdr:grpSp>
        <xdr:nvGrpSpPr>
          <xdr:cNvPr id="122" name="Grupo 121">
            <a:extLst>
              <a:ext uri="{FF2B5EF4-FFF2-40B4-BE49-F238E27FC236}">
                <a16:creationId xmlns:a16="http://schemas.microsoft.com/office/drawing/2014/main" id="{B850F7AA-C279-3DEF-B3EA-8917AD5C499D}"/>
              </a:ext>
            </a:extLst>
          </xdr:cNvPr>
          <xdr:cNvGrpSpPr/>
        </xdr:nvGrpSpPr>
        <xdr:grpSpPr>
          <a:xfrm>
            <a:off x="257175" y="1764506"/>
            <a:ext cx="11412313" cy="357869"/>
            <a:chOff x="295275" y="923925"/>
            <a:chExt cx="11382377" cy="352426"/>
          </a:xfrm>
        </xdr:grpSpPr>
        <xdr:sp macro="" textlink="">
          <xdr:nvSpPr>
            <xdr:cNvPr id="131" name="Rectángulo: esquinas redondeadas 130">
              <a:extLst>
                <a:ext uri="{FF2B5EF4-FFF2-40B4-BE49-F238E27FC236}">
                  <a16:creationId xmlns:a16="http://schemas.microsoft.com/office/drawing/2014/main" id="{5C91A516-3475-380D-754D-8FF86C4DF0FB}"/>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2" name="Rectángulo: esquinas redondeadas 131">
              <a:extLst>
                <a:ext uri="{FF2B5EF4-FFF2-40B4-BE49-F238E27FC236}">
                  <a16:creationId xmlns:a16="http://schemas.microsoft.com/office/drawing/2014/main" id="{DE13508E-2F75-6C17-A0C9-4612AAA48BD4}"/>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800">
                  <a:solidFill>
                    <a:schemeClr val="bg1"/>
                  </a:solidFill>
                  <a:latin typeface="Montserrat" panose="00000500000000000000" pitchFamily="2" charset="0"/>
                  <a:ea typeface="+mn-ea"/>
                  <a:cs typeface="+mn-cs"/>
                </a:rPr>
                <a:t>DIAS.LAB.INTL</a:t>
              </a:r>
            </a:p>
          </xdr:txBody>
        </xdr:sp>
        <xdr:sp macro="" textlink="">
          <xdr:nvSpPr>
            <xdr:cNvPr id="133" name="Rectángulo: esquinas redondeadas 132">
              <a:extLst>
                <a:ext uri="{FF2B5EF4-FFF2-40B4-BE49-F238E27FC236}">
                  <a16:creationId xmlns:a16="http://schemas.microsoft.com/office/drawing/2014/main" id="{454C46E5-223F-7593-4EE8-AB32F6C33ABB}"/>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4" name="Rectángulo: esquinas redondeadas 133">
              <a:extLst>
                <a:ext uri="{FF2B5EF4-FFF2-40B4-BE49-F238E27FC236}">
                  <a16:creationId xmlns:a16="http://schemas.microsoft.com/office/drawing/2014/main" id="{E829DCC8-ABDD-1734-21E3-3F69189D9196}"/>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a:t>
              </a:r>
              <a:r>
                <a:rPr lang="en-US" sz="1000" baseline="0">
                  <a:solidFill>
                    <a:schemeClr val="tx1"/>
                  </a:solidFill>
                  <a:latin typeface="Montserrat" panose="00000500000000000000" pitchFamily="2" charset="0"/>
                  <a:ea typeface="+mn-ea"/>
                  <a:cs typeface="+mn-cs"/>
                </a:rPr>
                <a:t> Inicial</a:t>
              </a:r>
              <a:endParaRPr lang="en-US" sz="1000">
                <a:solidFill>
                  <a:schemeClr val="tx1"/>
                </a:solidFill>
                <a:latin typeface="Montserrat" panose="00000500000000000000" pitchFamily="2" charset="0"/>
                <a:ea typeface="+mn-ea"/>
                <a:cs typeface="+mn-cs"/>
              </a:endParaRPr>
            </a:p>
          </xdr:txBody>
        </xdr:sp>
        <xdr:sp macro="" textlink="">
          <xdr:nvSpPr>
            <xdr:cNvPr id="135" name="Rectángulo: esquinas redondeadas 134">
              <a:extLst>
                <a:ext uri="{FF2B5EF4-FFF2-40B4-BE49-F238E27FC236}">
                  <a16:creationId xmlns:a16="http://schemas.microsoft.com/office/drawing/2014/main" id="{9D8C8F21-57D2-0A20-6749-A8517F2205E0}"/>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Fecha Final</a:t>
              </a:r>
            </a:p>
          </xdr:txBody>
        </xdr:sp>
        <xdr:sp macro="" textlink="">
          <xdr:nvSpPr>
            <xdr:cNvPr id="136" name="Rectángulo: esquinas redondeadas 135">
              <a:extLst>
                <a:ext uri="{FF2B5EF4-FFF2-40B4-BE49-F238E27FC236}">
                  <a16:creationId xmlns:a16="http://schemas.microsoft.com/office/drawing/2014/main" id="{BE06E8D4-B77F-675A-E247-CC88F2431817}"/>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[Fin de semana]</a:t>
              </a:r>
            </a:p>
          </xdr:txBody>
        </xdr:sp>
        <xdr:sp macro="" textlink="">
          <xdr:nvSpPr>
            <xdr:cNvPr id="137" name="Rectángulo: esquinas redondeadas 136">
              <a:extLst>
                <a:ext uri="{FF2B5EF4-FFF2-40B4-BE49-F238E27FC236}">
                  <a16:creationId xmlns:a16="http://schemas.microsoft.com/office/drawing/2014/main" id="{A8C30EA2-3836-CF47-DAA2-346EC2627A5A}"/>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8" name="Rectángulo: esquinas redondeadas 137">
              <a:extLst>
                <a:ext uri="{FF2B5EF4-FFF2-40B4-BE49-F238E27FC236}">
                  <a16:creationId xmlns:a16="http://schemas.microsoft.com/office/drawing/2014/main" id="{E10EAA40-4F8A-B5B8-7FC6-D5CE7B372CE4}"/>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9" name="Rectángulo: esquinas redondeadas 138">
              <a:extLst>
                <a:ext uri="{FF2B5EF4-FFF2-40B4-BE49-F238E27FC236}">
                  <a16:creationId xmlns:a16="http://schemas.microsoft.com/office/drawing/2014/main" id="{BCB8899A-DB2E-7425-B51E-1BA16153EA45}"/>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40" name="Rectángulo: esquinas redondeadas 139">
              <a:extLst>
                <a:ext uri="{FF2B5EF4-FFF2-40B4-BE49-F238E27FC236}">
                  <a16:creationId xmlns:a16="http://schemas.microsoft.com/office/drawing/2014/main" id="{1E071603-630F-D048-34CC-50BF8C09B0DB}"/>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[Dias No Laborables]</a:t>
              </a:r>
            </a:p>
          </xdr:txBody>
        </xdr:sp>
        <xdr:sp macro="" textlink="">
          <xdr:nvSpPr>
            <xdr:cNvPr id="141" name="Rectángulo: esquinas redondeadas 140">
              <a:extLst>
                <a:ext uri="{FF2B5EF4-FFF2-40B4-BE49-F238E27FC236}">
                  <a16:creationId xmlns:a16="http://schemas.microsoft.com/office/drawing/2014/main" id="{792ACA7B-52CF-E859-FFA8-EBAC1CFD04A8}"/>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123" name="Rectángulo: esquinas redondeadas 122">
            <a:extLst>
              <a:ext uri="{FF2B5EF4-FFF2-40B4-BE49-F238E27FC236}">
                <a16:creationId xmlns:a16="http://schemas.microsoft.com/office/drawing/2014/main" id="{49EACA65-CCAA-DBDD-781D-279CD8F2599B}"/>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inicio del período.</a:t>
            </a:r>
          </a:p>
        </xdr:txBody>
      </xdr:sp>
      <xdr:pic>
        <xdr:nvPicPr>
          <xdr:cNvPr id="124" name="Gráfico 123" descr="Information con relleno sólido">
            <a:extLst>
              <a:ext uri="{FF2B5EF4-FFF2-40B4-BE49-F238E27FC236}">
                <a16:creationId xmlns:a16="http://schemas.microsoft.com/office/drawing/2014/main" id="{AA89B8A0-DEC9-3FA2-0499-76DF9F763C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125" name="Rectángulo: esquinas redondeadas 124">
            <a:extLst>
              <a:ext uri="{FF2B5EF4-FFF2-40B4-BE49-F238E27FC236}">
                <a16:creationId xmlns:a16="http://schemas.microsoft.com/office/drawing/2014/main" id="{BFF7959B-7972-2F64-060D-A24DF1A453C3}"/>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fecha de finalización del período.</a:t>
            </a:r>
          </a:p>
        </xdr:txBody>
      </xdr:sp>
      <xdr:pic>
        <xdr:nvPicPr>
          <xdr:cNvPr id="126" name="Gráfico 125" descr="Information con relleno sólido">
            <a:extLst>
              <a:ext uri="{FF2B5EF4-FFF2-40B4-BE49-F238E27FC236}">
                <a16:creationId xmlns:a16="http://schemas.microsoft.com/office/drawing/2014/main" id="{7941C06C-1305-B2E3-CF65-1324987E8D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127" name="Rectángulo: esquinas redondeadas 126">
            <a:extLst>
              <a:ext uri="{FF2B5EF4-FFF2-40B4-BE49-F238E27FC236}">
                <a16:creationId xmlns:a16="http://schemas.microsoft.com/office/drawing/2014/main" id="{8A1C1ABF-6A35-B12C-40B7-6360C5313B1F}"/>
              </a:ext>
            </a:extLst>
          </xdr:cNvPr>
          <xdr:cNvSpPr/>
        </xdr:nvSpPr>
        <xdr:spPr>
          <a:xfrm>
            <a:off x="6900182" y="2245178"/>
            <a:ext cx="1980001" cy="103274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Un número o cadena que representa los días de la semana que se consideran fin de semana. Por defecto, sábados y domingos son considerados fines de semana (1). Sin embargo, se pueden especificar diferentes configuraciones utilizando tanto números como cadenas predefinidas para adaptarse a diversas necesidades.</a:t>
            </a:r>
          </a:p>
        </xdr:txBody>
      </xdr:sp>
      <xdr:pic>
        <xdr:nvPicPr>
          <xdr:cNvPr id="128" name="Gráfico 127" descr="Information con relleno sólido">
            <a:extLst>
              <a:ext uri="{FF2B5EF4-FFF2-40B4-BE49-F238E27FC236}">
                <a16:creationId xmlns:a16="http://schemas.microsoft.com/office/drawing/2014/main" id="{5782271A-E037-8D90-CA23-E440B71BF0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sp macro="" textlink="">
        <xdr:nvSpPr>
          <xdr:cNvPr id="129" name="Rectángulo: esquinas redondeadas 128">
            <a:extLst>
              <a:ext uri="{FF2B5EF4-FFF2-40B4-BE49-F238E27FC236}">
                <a16:creationId xmlns:a16="http://schemas.microsoft.com/office/drawing/2014/main" id="{B6595A11-D64F-C456-803C-7A3BF7C648B2}"/>
              </a:ext>
            </a:extLst>
          </xdr:cNvPr>
          <xdr:cNvSpPr/>
        </xdr:nvSpPr>
        <xdr:spPr>
          <a:xfrm>
            <a:off x="9338577" y="226150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Un rango de celdas que contiene las fechas de los días festivos que se deben excluir del cálculo. Estos son tratados como no laborables.</a:t>
            </a:r>
          </a:p>
        </xdr:txBody>
      </xdr:sp>
      <xdr:pic>
        <xdr:nvPicPr>
          <xdr:cNvPr id="130" name="Gráfico 129" descr="Information con relleno sólido">
            <a:extLst>
              <a:ext uri="{FF2B5EF4-FFF2-40B4-BE49-F238E27FC236}">
                <a16:creationId xmlns:a16="http://schemas.microsoft.com/office/drawing/2014/main" id="{A196A8F7-5B0F-2834-7BD1-30A27511F8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76678" y="2271034"/>
            <a:ext cx="161925" cy="161925"/>
          </a:xfrm>
          <a:prstGeom prst="rect">
            <a:avLst/>
          </a:prstGeom>
        </xdr:spPr>
      </xdr:pic>
    </xdr:grp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12</xdr:col>
      <xdr:colOff>833790</xdr:colOff>
      <xdr:row>4</xdr:row>
      <xdr:rowOff>177800</xdr:rowOff>
    </xdr:to>
    <xdr:sp macro="" textlink="">
      <xdr:nvSpPr>
        <xdr:cNvPr id="7" name="Rectángulo: esquinas redondeadas 6">
          <a:extLst>
            <a:ext uri="{FF2B5EF4-FFF2-40B4-BE49-F238E27FC236}">
              <a16:creationId xmlns:a16="http://schemas.microsoft.com/office/drawing/2014/main" id="{59FDD8AE-43EE-4786-AF40-21D1E3705658}"/>
            </a:ext>
          </a:extLst>
        </xdr:cNvPr>
        <xdr:cNvSpPr/>
      </xdr:nvSpPr>
      <xdr:spPr>
        <a:xfrm>
          <a:off x="123824" y="831850"/>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76200</xdr:rowOff>
    </xdr:from>
    <xdr:to>
      <xdr:col>12</xdr:col>
      <xdr:colOff>873830</xdr:colOff>
      <xdr:row>7</xdr:row>
      <xdr:rowOff>111126</xdr:rowOff>
    </xdr:to>
    <xdr:sp macro="" textlink="">
      <xdr:nvSpPr>
        <xdr:cNvPr id="8" name="Rectángulo: esquinas redondeadas 7">
          <a:extLst>
            <a:ext uri="{FF2B5EF4-FFF2-40B4-BE49-F238E27FC236}">
              <a16:creationId xmlns:a16="http://schemas.microsoft.com/office/drawing/2014/main" id="{C16BC900-EE00-4E82-AC6D-908EBB7742EC}"/>
            </a:ext>
          </a:extLst>
        </xdr:cNvPr>
        <xdr:cNvSpPr/>
      </xdr:nvSpPr>
      <xdr:spPr>
        <a:xfrm>
          <a:off x="155573" y="1240367"/>
          <a:ext cx="13581593" cy="49424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BUSCAR (LOOKUP): </a:t>
          </a:r>
          <a:r>
            <a:rPr lang="en-US" sz="1000" b="0">
              <a:solidFill>
                <a:schemeClr val="tx1"/>
              </a:solidFill>
              <a:latin typeface="Montserrat" panose="00000500000000000000" pitchFamily="2" charset="0"/>
              <a:ea typeface="+mn-ea"/>
              <a:cs typeface="+mn-cs"/>
            </a:rPr>
            <a:t>Devuelve un valor de un rango de </a:t>
          </a:r>
          <a:r>
            <a:rPr lang="en-US" sz="1000" b="1">
              <a:solidFill>
                <a:schemeClr val="tx1"/>
              </a:solidFill>
              <a:latin typeface="Montserrat" panose="00000500000000000000" pitchFamily="2" charset="0"/>
              <a:ea typeface="+mn-ea"/>
              <a:cs typeface="+mn-cs"/>
            </a:rPr>
            <a:t>una sola fila o una sola columna</a:t>
          </a:r>
          <a:r>
            <a:rPr lang="en-US" sz="1000" b="0">
              <a:solidFill>
                <a:schemeClr val="tx1"/>
              </a:solidFill>
              <a:latin typeface="Montserrat" panose="00000500000000000000" pitchFamily="2" charset="0"/>
              <a:ea typeface="+mn-ea"/>
              <a:cs typeface="+mn-cs"/>
            </a:rPr>
            <a:t>. Otra forma de la función BUSCAR funciona como BUSCARV pero está </a:t>
          </a:r>
          <a:r>
            <a:rPr lang="en-US" sz="1000" b="1">
              <a:solidFill>
                <a:schemeClr val="tx1"/>
              </a:solidFill>
              <a:latin typeface="Montserrat" panose="00000500000000000000" pitchFamily="2" charset="0"/>
              <a:ea typeface="+mn-ea"/>
              <a:cs typeface="+mn-cs"/>
            </a:rPr>
            <a:t>restringida</a:t>
          </a:r>
          <a:r>
            <a:rPr lang="en-US" sz="1000" b="0">
              <a:solidFill>
                <a:schemeClr val="tx1"/>
              </a:solidFill>
              <a:latin typeface="Montserrat" panose="00000500000000000000" pitchFamily="2" charset="0"/>
              <a:ea typeface="+mn-ea"/>
              <a:cs typeface="+mn-cs"/>
            </a:rPr>
            <a:t> a devolver un valor de la última columna de un rango.</a:t>
          </a:r>
        </a:p>
      </xdr:txBody>
    </xdr:sp>
    <xdr:clientData/>
  </xdr:twoCellAnchor>
  <xdr:twoCellAnchor editAs="absolute">
    <xdr:from>
      <xdr:col>1</xdr:col>
      <xdr:colOff>3174</xdr:colOff>
      <xdr:row>8</xdr:row>
      <xdr:rowOff>57150</xdr:rowOff>
    </xdr:from>
    <xdr:to>
      <xdr:col>12</xdr:col>
      <xdr:colOff>833790</xdr:colOff>
      <xdr:row>9</xdr:row>
      <xdr:rowOff>111125</xdr:rowOff>
    </xdr:to>
    <xdr:sp macro="" textlink="">
      <xdr:nvSpPr>
        <xdr:cNvPr id="9" name="Rectángulo: esquinas redondeadas 8">
          <a:extLst>
            <a:ext uri="{FF2B5EF4-FFF2-40B4-BE49-F238E27FC236}">
              <a16:creationId xmlns:a16="http://schemas.microsoft.com/office/drawing/2014/main" id="{22EEF1AB-C09E-4ACD-8B24-E3ED91744D04}"/>
            </a:ext>
          </a:extLst>
        </xdr:cNvPr>
        <xdr:cNvSpPr/>
      </xdr:nvSpPr>
      <xdr:spPr>
        <a:xfrm>
          <a:off x="123824" y="1919817"/>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19049</xdr:colOff>
      <xdr:row>10</xdr:row>
      <xdr:rowOff>133350</xdr:rowOff>
    </xdr:from>
    <xdr:to>
      <xdr:col>8</xdr:col>
      <xdr:colOff>1081971</xdr:colOff>
      <xdr:row>15</xdr:row>
      <xdr:rowOff>34150</xdr:rowOff>
    </xdr:to>
    <xdr:grpSp>
      <xdr:nvGrpSpPr>
        <xdr:cNvPr id="34" name="Grupo 33">
          <a:extLst>
            <a:ext uri="{FF2B5EF4-FFF2-40B4-BE49-F238E27FC236}">
              <a16:creationId xmlns:a16="http://schemas.microsoft.com/office/drawing/2014/main" id="{5933DD09-55D4-37D2-8584-4AF6A7765FBC}"/>
            </a:ext>
          </a:extLst>
        </xdr:cNvPr>
        <xdr:cNvGrpSpPr/>
      </xdr:nvGrpSpPr>
      <xdr:grpSpPr>
        <a:xfrm>
          <a:off x="133349" y="1943100"/>
          <a:ext cx="8130472" cy="805675"/>
          <a:chOff x="142874" y="2419350"/>
          <a:chExt cx="9029702" cy="1040625"/>
        </a:xfrm>
      </xdr:grpSpPr>
      <xdr:grpSp>
        <xdr:nvGrpSpPr>
          <xdr:cNvPr id="22" name="Grupo 21">
            <a:extLst>
              <a:ext uri="{FF2B5EF4-FFF2-40B4-BE49-F238E27FC236}">
                <a16:creationId xmlns:a16="http://schemas.microsoft.com/office/drawing/2014/main" id="{0ECA12EA-8DB8-9B2A-A4D0-8BBB5C9DA7A8}"/>
              </a:ext>
            </a:extLst>
          </xdr:cNvPr>
          <xdr:cNvGrpSpPr/>
        </xdr:nvGrpSpPr>
        <xdr:grpSpPr>
          <a:xfrm>
            <a:off x="142874" y="2419350"/>
            <a:ext cx="9029702" cy="352426"/>
            <a:chOff x="142874" y="2266950"/>
            <a:chExt cx="9029702" cy="352426"/>
          </a:xfrm>
        </xdr:grpSpPr>
        <xdr:sp macro="" textlink="">
          <xdr:nvSpPr>
            <xdr:cNvPr id="10" name="Rectángulo: esquinas redondeadas 9">
              <a:extLst>
                <a:ext uri="{FF2B5EF4-FFF2-40B4-BE49-F238E27FC236}">
                  <a16:creationId xmlns:a16="http://schemas.microsoft.com/office/drawing/2014/main" id="{D6555B94-3FC4-4AAC-A655-5AA7DDBFE4DB}"/>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 name="Rectángulo: esquinas redondeadas 10">
              <a:extLst>
                <a:ext uri="{FF2B5EF4-FFF2-40B4-BE49-F238E27FC236}">
                  <a16:creationId xmlns:a16="http://schemas.microsoft.com/office/drawing/2014/main" id="{407181ED-0C90-44C3-935C-E1BF98376223}"/>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12" name="Rectángulo: esquinas redondeadas 11">
              <a:extLst>
                <a:ext uri="{FF2B5EF4-FFF2-40B4-BE49-F238E27FC236}">
                  <a16:creationId xmlns:a16="http://schemas.microsoft.com/office/drawing/2014/main" id="{CE3CF0F2-12C9-4DEC-8094-166F89CC4D1D}"/>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 name="Rectángulo: esquinas redondeadas 12">
              <a:extLst>
                <a:ext uri="{FF2B5EF4-FFF2-40B4-BE49-F238E27FC236}">
                  <a16:creationId xmlns:a16="http://schemas.microsoft.com/office/drawing/2014/main" id="{65B142C6-CD49-4393-9F8F-9D47E851AEA4}"/>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Buscado</a:t>
              </a:r>
            </a:p>
          </xdr:txBody>
        </xdr:sp>
        <xdr:sp macro="" textlink="">
          <xdr:nvSpPr>
            <xdr:cNvPr id="14" name="Rectángulo: esquinas redondeadas 13">
              <a:extLst>
                <a:ext uri="{FF2B5EF4-FFF2-40B4-BE49-F238E27FC236}">
                  <a16:creationId xmlns:a16="http://schemas.microsoft.com/office/drawing/2014/main" id="{DA28A3BA-4BA2-9715-C812-C7E3E7320EBB}"/>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Vector de Comparación</a:t>
              </a:r>
            </a:p>
          </xdr:txBody>
        </xdr:sp>
        <xdr:sp macro="" textlink="">
          <xdr:nvSpPr>
            <xdr:cNvPr id="15" name="Rectángulo: esquinas redondeadas 14">
              <a:extLst>
                <a:ext uri="{FF2B5EF4-FFF2-40B4-BE49-F238E27FC236}">
                  <a16:creationId xmlns:a16="http://schemas.microsoft.com/office/drawing/2014/main" id="{B01153DB-3B8F-CAF7-9772-AFAD25FD55E6}"/>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[Vector resultado]</a:t>
              </a:r>
            </a:p>
          </xdr:txBody>
        </xdr:sp>
        <xdr:sp macro="" textlink="">
          <xdr:nvSpPr>
            <xdr:cNvPr id="19" name="Rectángulo: esquinas redondeadas 18">
              <a:extLst>
                <a:ext uri="{FF2B5EF4-FFF2-40B4-BE49-F238E27FC236}">
                  <a16:creationId xmlns:a16="http://schemas.microsoft.com/office/drawing/2014/main" id="{71F380D9-4DE1-4EAD-AF18-C92EA542CD12}"/>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0" name="Rectángulo: esquinas redondeadas 19">
              <a:extLst>
                <a:ext uri="{FF2B5EF4-FFF2-40B4-BE49-F238E27FC236}">
                  <a16:creationId xmlns:a16="http://schemas.microsoft.com/office/drawing/2014/main" id="{BA9CA176-C563-44CE-A79C-15FA9FAF0A0E}"/>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1" name="Rectángulo: esquinas redondeadas 20">
              <a:extLst>
                <a:ext uri="{FF2B5EF4-FFF2-40B4-BE49-F238E27FC236}">
                  <a16:creationId xmlns:a16="http://schemas.microsoft.com/office/drawing/2014/main" id="{6285FDDE-4D10-4F76-9F92-BE9749F726FB}"/>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33" name="Grupo 32">
            <a:extLst>
              <a:ext uri="{FF2B5EF4-FFF2-40B4-BE49-F238E27FC236}">
                <a16:creationId xmlns:a16="http://schemas.microsoft.com/office/drawing/2014/main" id="{4B2AA4B1-F29E-54B9-3944-54C1C49901AF}"/>
              </a:ext>
            </a:extLst>
          </xdr:cNvPr>
          <xdr:cNvGrpSpPr/>
        </xdr:nvGrpSpPr>
        <xdr:grpSpPr>
          <a:xfrm>
            <a:off x="2190749" y="2847975"/>
            <a:ext cx="6580575" cy="612000"/>
            <a:chOff x="2190749" y="2847975"/>
            <a:chExt cx="6580575" cy="612000"/>
          </a:xfrm>
        </xdr:grpSpPr>
        <xdr:sp macro="" textlink="">
          <xdr:nvSpPr>
            <xdr:cNvPr id="23" name="Rectángulo: esquinas redondeadas 22">
              <a:extLst>
                <a:ext uri="{FF2B5EF4-FFF2-40B4-BE49-F238E27FC236}">
                  <a16:creationId xmlns:a16="http://schemas.microsoft.com/office/drawing/2014/main" id="{8C67DC60-0E71-498D-83AA-034ED7B797E0}"/>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estás intentando encontrar.</a:t>
              </a:r>
            </a:p>
          </xdr:txBody>
        </xdr:sp>
        <xdr:pic>
          <xdr:nvPicPr>
            <xdr:cNvPr id="25" name="Gráfico 24" descr="Information con relleno sólido">
              <a:extLst>
                <a:ext uri="{FF2B5EF4-FFF2-40B4-BE49-F238E27FC236}">
                  <a16:creationId xmlns:a16="http://schemas.microsoft.com/office/drawing/2014/main" id="{59D9B734-8B78-0EB4-B158-E76DCD138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28850" y="2876550"/>
              <a:ext cx="161925" cy="161925"/>
            </a:xfrm>
            <a:prstGeom prst="rect">
              <a:avLst/>
            </a:prstGeom>
          </xdr:spPr>
        </xdr:pic>
        <xdr:sp macro="" textlink="">
          <xdr:nvSpPr>
            <xdr:cNvPr id="28" name="Rectángulo: esquinas redondeadas 27">
              <a:extLst>
                <a:ext uri="{FF2B5EF4-FFF2-40B4-BE49-F238E27FC236}">
                  <a16:creationId xmlns:a16="http://schemas.microsoft.com/office/drawing/2014/main" id="{5FAF24CA-23E5-AB93-AB5B-34BBF7B07BD5}"/>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donde Excel buscará el vector de comparación</a:t>
              </a:r>
            </a:p>
          </xdr:txBody>
        </xdr:sp>
        <xdr:pic>
          <xdr:nvPicPr>
            <xdr:cNvPr id="29" name="Gráfico 28" descr="Information con relleno sólido">
              <a:extLst>
                <a:ext uri="{FF2B5EF4-FFF2-40B4-BE49-F238E27FC236}">
                  <a16:creationId xmlns:a16="http://schemas.microsoft.com/office/drawing/2014/main" id="{A25E2A4E-3737-CE1B-DB5C-4B2907466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81525" y="2867025"/>
              <a:ext cx="161925" cy="161925"/>
            </a:xfrm>
            <a:prstGeom prst="rect">
              <a:avLst/>
            </a:prstGeom>
          </xdr:spPr>
        </xdr:pic>
        <xdr:sp macro="" textlink="">
          <xdr:nvSpPr>
            <xdr:cNvPr id="31" name="Rectángulo: esquinas redondeadas 30">
              <a:extLst>
                <a:ext uri="{FF2B5EF4-FFF2-40B4-BE49-F238E27FC236}">
                  <a16:creationId xmlns:a16="http://schemas.microsoft.com/office/drawing/2014/main" id="{4D696235-95CC-B53A-DC4C-2B3D5E234F1A}"/>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de donde se obtendrá el valor resultante. Si se omite, Excel usará vector de comparación como el rango de resultados.</a:t>
              </a:r>
            </a:p>
          </xdr:txBody>
        </xdr:sp>
        <xdr:pic>
          <xdr:nvPicPr>
            <xdr:cNvPr id="32" name="Gráfico 31" descr="Information con relleno sólido">
              <a:extLst>
                <a:ext uri="{FF2B5EF4-FFF2-40B4-BE49-F238E27FC236}">
                  <a16:creationId xmlns:a16="http://schemas.microsoft.com/office/drawing/2014/main" id="{A61A6333-BE00-07E9-11CF-2545B2F74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829425" y="2857500"/>
              <a:ext cx="161925" cy="161925"/>
            </a:xfrm>
            <a:prstGeom prst="rect">
              <a:avLst/>
            </a:prstGeom>
          </xdr:spPr>
        </xdr:pic>
      </xdr:grpSp>
    </xdr:grpSp>
    <xdr:clientData/>
  </xdr:twoCellAnchor>
  <xdr:twoCellAnchor editAs="absolute">
    <xdr:from>
      <xdr:col>1</xdr:col>
      <xdr:colOff>3174</xdr:colOff>
      <xdr:row>17</xdr:row>
      <xdr:rowOff>19050</xdr:rowOff>
    </xdr:from>
    <xdr:to>
      <xdr:col>12</xdr:col>
      <xdr:colOff>833790</xdr:colOff>
      <xdr:row>18</xdr:row>
      <xdr:rowOff>73025</xdr:rowOff>
    </xdr:to>
    <xdr:sp macro="" textlink="">
      <xdr:nvSpPr>
        <xdr:cNvPr id="35" name="Rectángulo: esquinas redondeadas 34">
          <a:extLst>
            <a:ext uri="{FF2B5EF4-FFF2-40B4-BE49-F238E27FC236}">
              <a16:creationId xmlns:a16="http://schemas.microsoft.com/office/drawing/2014/main" id="{A4F39475-7110-4081-A9E3-B7C4D2B4AF0D}"/>
            </a:ext>
          </a:extLst>
        </xdr:cNvPr>
        <xdr:cNvSpPr/>
      </xdr:nvSpPr>
      <xdr:spPr>
        <a:xfrm>
          <a:off x="123824" y="3977217"/>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45</xdr:row>
      <xdr:rowOff>0</xdr:rowOff>
    </xdr:from>
    <xdr:to>
      <xdr:col>12</xdr:col>
      <xdr:colOff>853722</xdr:colOff>
      <xdr:row>46</xdr:row>
      <xdr:rowOff>53975</xdr:rowOff>
    </xdr:to>
    <xdr:sp macro="" textlink="">
      <xdr:nvSpPr>
        <xdr:cNvPr id="37" name="Rectángulo: esquinas redondeadas 36">
          <a:extLst>
            <a:ext uri="{FF2B5EF4-FFF2-40B4-BE49-F238E27FC236}">
              <a16:creationId xmlns:a16="http://schemas.microsoft.com/office/drawing/2014/main" id="{32CD425E-29B6-4A27-8075-579877BC1E6C}"/>
            </a:ext>
          </a:extLst>
        </xdr:cNvPr>
        <xdr:cNvSpPr/>
      </xdr:nvSpPr>
      <xdr:spPr>
        <a:xfrm>
          <a:off x="127000" y="10477500"/>
          <a:ext cx="13599583"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49</xdr:row>
      <xdr:rowOff>190500</xdr:rowOff>
    </xdr:from>
    <xdr:to>
      <xdr:col>12</xdr:col>
      <xdr:colOff>872771</xdr:colOff>
      <xdr:row>52</xdr:row>
      <xdr:rowOff>73024</xdr:rowOff>
    </xdr:to>
    <xdr:sp macro="" textlink="">
      <xdr:nvSpPr>
        <xdr:cNvPr id="38" name="Rectángulo: esquinas redondeadas 37">
          <a:extLst>
            <a:ext uri="{FF2B5EF4-FFF2-40B4-BE49-F238E27FC236}">
              <a16:creationId xmlns:a16="http://schemas.microsoft.com/office/drawing/2014/main" id="{557E8263-C382-4681-A890-C1F6CE782825}"/>
            </a:ext>
          </a:extLst>
        </xdr:cNvPr>
        <xdr:cNvSpPr/>
      </xdr:nvSpPr>
      <xdr:spPr>
        <a:xfrm>
          <a:off x="95249" y="11599333"/>
          <a:ext cx="13663083" cy="5714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vechículos en la celda I56 de acuerdo con el año y trimestre seleccionado</a:t>
          </a:r>
        </a:p>
      </xdr:txBody>
    </xdr:sp>
    <xdr:clientData/>
  </xdr:twoCellAnchor>
  <xdr:twoCellAnchor>
    <xdr:from>
      <xdr:col>1</xdr:col>
      <xdr:colOff>9524</xdr:colOff>
      <xdr:row>0</xdr:row>
      <xdr:rowOff>104775</xdr:rowOff>
    </xdr:from>
    <xdr:to>
      <xdr:col>13</xdr:col>
      <xdr:colOff>264584</xdr:colOff>
      <xdr:row>2</xdr:row>
      <xdr:rowOff>180975</xdr:rowOff>
    </xdr:to>
    <xdr:grpSp>
      <xdr:nvGrpSpPr>
        <xdr:cNvPr id="41" name="Grupo 40">
          <a:extLst>
            <a:ext uri="{FF2B5EF4-FFF2-40B4-BE49-F238E27FC236}">
              <a16:creationId xmlns:a16="http://schemas.microsoft.com/office/drawing/2014/main" id="{908F9FBD-FA63-3480-5F1F-04E00B4AF809}"/>
            </a:ext>
          </a:extLst>
        </xdr:cNvPr>
        <xdr:cNvGrpSpPr/>
      </xdr:nvGrpSpPr>
      <xdr:grpSpPr>
        <a:xfrm>
          <a:off x="123824" y="104775"/>
          <a:ext cx="12428010" cy="438150"/>
          <a:chOff x="136524" y="104775"/>
          <a:chExt cx="13664143" cy="541867"/>
        </a:xfrm>
      </xdr:grpSpPr>
      <xdr:sp macro="" textlink="">
        <xdr:nvSpPr>
          <xdr:cNvPr id="2" name="Rectángulo: esquinas redondeadas 1">
            <a:extLst>
              <a:ext uri="{FF2B5EF4-FFF2-40B4-BE49-F238E27FC236}">
                <a16:creationId xmlns:a16="http://schemas.microsoft.com/office/drawing/2014/main" id="{05AB9742-B996-2E17-FE5C-3C3A864FC222}"/>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 name="CuadroTexto 2">
            <a:extLst>
              <a:ext uri="{FF2B5EF4-FFF2-40B4-BE49-F238E27FC236}">
                <a16:creationId xmlns:a16="http://schemas.microsoft.com/office/drawing/2014/main" id="{DAFD3223-CD60-7126-711C-93B5FB2E8794}"/>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BUSCAR</a:t>
            </a:r>
          </a:p>
        </xdr:txBody>
      </xdr:sp>
      <xdr:pic>
        <xdr:nvPicPr>
          <xdr:cNvPr id="6" name="Gráfico 5" descr="Search Inventory con relleno sólido">
            <a:extLst>
              <a:ext uri="{FF2B5EF4-FFF2-40B4-BE49-F238E27FC236}">
                <a16:creationId xmlns:a16="http://schemas.microsoft.com/office/drawing/2014/main" id="{D8821E07-C910-391B-5761-946B7E6DAE8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40" name="Gráfico 39" descr="Circle with left arrow con relleno sólido">
            <a:hlinkClick xmlns:r="http://schemas.openxmlformats.org/officeDocument/2006/relationships" r:id="rId6"/>
            <a:extLst>
              <a:ext uri="{FF2B5EF4-FFF2-40B4-BE49-F238E27FC236}">
                <a16:creationId xmlns:a16="http://schemas.microsoft.com/office/drawing/2014/main" id="{9F832ED6-A6CF-B843-6BA3-A71C46DCDBE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313835" y="137584"/>
            <a:ext cx="465667" cy="465667"/>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5</xdr:col>
      <xdr:colOff>643643</xdr:colOff>
      <xdr:row>4</xdr:row>
      <xdr:rowOff>177800</xdr:rowOff>
    </xdr:to>
    <xdr:sp macro="" textlink="">
      <xdr:nvSpPr>
        <xdr:cNvPr id="5" name="Rectángulo: esquinas redondeadas 4">
          <a:extLst>
            <a:ext uri="{FF2B5EF4-FFF2-40B4-BE49-F238E27FC236}">
              <a16:creationId xmlns:a16="http://schemas.microsoft.com/office/drawing/2014/main" id="{EA17EBFD-C27C-454B-9FD3-3A96114352BD}"/>
            </a:ext>
          </a:extLst>
        </xdr:cNvPr>
        <xdr:cNvSpPr/>
      </xdr:nvSpPr>
      <xdr:spPr>
        <a:xfrm>
          <a:off x="123824" y="819150"/>
          <a:ext cx="1355954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28573</xdr:colOff>
      <xdr:row>5</xdr:row>
      <xdr:rowOff>76200</xdr:rowOff>
    </xdr:from>
    <xdr:to>
      <xdr:col>5</xdr:col>
      <xdr:colOff>683683</xdr:colOff>
      <xdr:row>7</xdr:row>
      <xdr:rowOff>111126</xdr:rowOff>
    </xdr:to>
    <xdr:sp macro="" textlink="">
      <xdr:nvSpPr>
        <xdr:cNvPr id="6" name="Rectángulo: esquinas redondeadas 5">
          <a:extLst>
            <a:ext uri="{FF2B5EF4-FFF2-40B4-BE49-F238E27FC236}">
              <a16:creationId xmlns:a16="http://schemas.microsoft.com/office/drawing/2014/main" id="{56AA2A8E-1173-493F-89CC-486AAB25F528}"/>
            </a:ext>
          </a:extLst>
        </xdr:cNvPr>
        <xdr:cNvSpPr/>
      </xdr:nvSpPr>
      <xdr:spPr>
        <a:xfrm>
          <a:off x="152398" y="1219200"/>
          <a:ext cx="13564660" cy="48577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BUSCARV (VLOOKUP en inglés)</a:t>
          </a:r>
          <a:r>
            <a:rPr lang="en-US" sz="1000" b="0">
              <a:solidFill>
                <a:schemeClr val="tx1"/>
              </a:solidFill>
              <a:latin typeface="Montserrat" panose="00000500000000000000" pitchFamily="2" charset="0"/>
              <a:ea typeface="+mn-ea"/>
              <a:cs typeface="+mn-cs"/>
            </a:rPr>
            <a:t> es una función de Excel que se utiliza para buscar un valor en la primera columna de una tabla y luego devuelve un valor en la misma fila desde una columna que tú especificas. Es muy útil para encontrar datos específicos en grandes tablas.</a:t>
          </a:r>
        </a:p>
      </xdr:txBody>
    </xdr:sp>
    <xdr:clientData/>
  </xdr:twoCellAnchor>
  <xdr:twoCellAnchor editAs="oneCell">
    <xdr:from>
      <xdr:col>0</xdr:col>
      <xdr:colOff>123824</xdr:colOff>
      <xdr:row>8</xdr:row>
      <xdr:rowOff>57150</xdr:rowOff>
    </xdr:from>
    <xdr:to>
      <xdr:col>5</xdr:col>
      <xdr:colOff>643643</xdr:colOff>
      <xdr:row>9</xdr:row>
      <xdr:rowOff>111125</xdr:rowOff>
    </xdr:to>
    <xdr:sp macro="" textlink="">
      <xdr:nvSpPr>
        <xdr:cNvPr id="7" name="Rectángulo: esquinas redondeadas 6">
          <a:extLst>
            <a:ext uri="{FF2B5EF4-FFF2-40B4-BE49-F238E27FC236}">
              <a16:creationId xmlns:a16="http://schemas.microsoft.com/office/drawing/2014/main" id="{79FB9B9A-D25D-49CC-A319-4F3240937778}"/>
            </a:ext>
          </a:extLst>
        </xdr:cNvPr>
        <xdr:cNvSpPr/>
      </xdr:nvSpPr>
      <xdr:spPr>
        <a:xfrm>
          <a:off x="123824" y="1885950"/>
          <a:ext cx="1355954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5</xdr:col>
      <xdr:colOff>643643</xdr:colOff>
      <xdr:row>18</xdr:row>
      <xdr:rowOff>73025</xdr:rowOff>
    </xdr:to>
    <xdr:sp macro="" textlink="">
      <xdr:nvSpPr>
        <xdr:cNvPr id="26" name="Rectángulo: esquinas redondeadas 25">
          <a:extLst>
            <a:ext uri="{FF2B5EF4-FFF2-40B4-BE49-F238E27FC236}">
              <a16:creationId xmlns:a16="http://schemas.microsoft.com/office/drawing/2014/main" id="{4D147270-8DC4-453E-8793-9CAD403CDA65}"/>
            </a:ext>
          </a:extLst>
        </xdr:cNvPr>
        <xdr:cNvSpPr/>
      </xdr:nvSpPr>
      <xdr:spPr>
        <a:xfrm>
          <a:off x="123824" y="3905250"/>
          <a:ext cx="1355954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1</a:t>
          </a:r>
        </a:p>
      </xdr:txBody>
    </xdr:sp>
    <xdr:clientData/>
  </xdr:twoCellAnchor>
  <xdr:twoCellAnchor editAs="oneCell">
    <xdr:from>
      <xdr:col>1</xdr:col>
      <xdr:colOff>0</xdr:colOff>
      <xdr:row>75</xdr:row>
      <xdr:rowOff>0</xdr:rowOff>
    </xdr:from>
    <xdr:to>
      <xdr:col>5</xdr:col>
      <xdr:colOff>666750</xdr:colOff>
      <xdr:row>76</xdr:row>
      <xdr:rowOff>53975</xdr:rowOff>
    </xdr:to>
    <xdr:sp macro="" textlink="">
      <xdr:nvSpPr>
        <xdr:cNvPr id="27" name="Rectángulo: esquinas redondeadas 26">
          <a:extLst>
            <a:ext uri="{FF2B5EF4-FFF2-40B4-BE49-F238E27FC236}">
              <a16:creationId xmlns:a16="http://schemas.microsoft.com/office/drawing/2014/main" id="{62A5F6C2-ED8A-49F8-90E9-BD9EF6482B79}"/>
            </a:ext>
          </a:extLst>
        </xdr:cNvPr>
        <xdr:cNvSpPr/>
      </xdr:nvSpPr>
      <xdr:spPr>
        <a:xfrm>
          <a:off x="123825" y="10287000"/>
          <a:ext cx="13582650"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79</xdr:row>
      <xdr:rowOff>190500</xdr:rowOff>
    </xdr:from>
    <xdr:to>
      <xdr:col>5</xdr:col>
      <xdr:colOff>701674</xdr:colOff>
      <xdr:row>82</xdr:row>
      <xdr:rowOff>73024</xdr:rowOff>
    </xdr:to>
    <xdr:sp macro="" textlink="">
      <xdr:nvSpPr>
        <xdr:cNvPr id="28" name="Rectángulo: esquinas redondeadas 27">
          <a:extLst>
            <a:ext uri="{FF2B5EF4-FFF2-40B4-BE49-F238E27FC236}">
              <a16:creationId xmlns:a16="http://schemas.microsoft.com/office/drawing/2014/main" id="{7756BCED-49DA-470F-A5F8-725B795E756E}"/>
            </a:ext>
          </a:extLst>
        </xdr:cNvPr>
        <xdr:cNvSpPr/>
      </xdr:nvSpPr>
      <xdr:spPr>
        <a:xfrm>
          <a:off x="95249" y="11391900"/>
          <a:ext cx="13642975" cy="5587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a:t>
          </a:r>
          <a:r>
            <a:rPr lang="en-US" sz="1000" b="0" baseline="0">
              <a:solidFill>
                <a:schemeClr val="tx1"/>
              </a:solidFill>
              <a:latin typeface="Montserrat" panose="00000500000000000000" pitchFamily="2" charset="0"/>
              <a:ea typeface="+mn-ea"/>
              <a:cs typeface="+mn-cs"/>
            </a:rPr>
            <a:t> venta del videojuego y zona geográfica seleccionados en las celdas J84 y J85.</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9524</xdr:colOff>
      <xdr:row>0</xdr:row>
      <xdr:rowOff>104775</xdr:rowOff>
    </xdr:from>
    <xdr:to>
      <xdr:col>5</xdr:col>
      <xdr:colOff>740834</xdr:colOff>
      <xdr:row>2</xdr:row>
      <xdr:rowOff>177800</xdr:rowOff>
    </xdr:to>
    <xdr:grpSp>
      <xdr:nvGrpSpPr>
        <xdr:cNvPr id="53" name="Grupo 52">
          <a:extLst>
            <a:ext uri="{FF2B5EF4-FFF2-40B4-BE49-F238E27FC236}">
              <a16:creationId xmlns:a16="http://schemas.microsoft.com/office/drawing/2014/main" id="{F0980100-0D35-0F7C-85D7-EF086EC664B3}"/>
            </a:ext>
          </a:extLst>
        </xdr:cNvPr>
        <xdr:cNvGrpSpPr/>
      </xdr:nvGrpSpPr>
      <xdr:grpSpPr>
        <a:xfrm>
          <a:off x="125941" y="104775"/>
          <a:ext cx="12214226" cy="432858"/>
          <a:chOff x="136524" y="104775"/>
          <a:chExt cx="13664143" cy="541867"/>
        </a:xfrm>
      </xdr:grpSpPr>
      <xdr:sp macro="" textlink="">
        <xdr:nvSpPr>
          <xdr:cNvPr id="2" name="Rectángulo: esquinas redondeadas 1">
            <a:extLst>
              <a:ext uri="{FF2B5EF4-FFF2-40B4-BE49-F238E27FC236}">
                <a16:creationId xmlns:a16="http://schemas.microsoft.com/office/drawing/2014/main" id="{B9688D6E-49EB-47F5-AF4D-6FC1D3FF0737}"/>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 name="CuadroTexto 2">
            <a:extLst>
              <a:ext uri="{FF2B5EF4-FFF2-40B4-BE49-F238E27FC236}">
                <a16:creationId xmlns:a16="http://schemas.microsoft.com/office/drawing/2014/main" id="{E7453431-62A0-4771-9C70-953784A807ED}"/>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BUSCARV</a:t>
            </a:r>
          </a:p>
        </xdr:txBody>
      </xdr:sp>
      <xdr:pic>
        <xdr:nvPicPr>
          <xdr:cNvPr id="4" name="Gráfico 3" descr="Search Inventory con relleno sólido">
            <a:extLst>
              <a:ext uri="{FF2B5EF4-FFF2-40B4-BE49-F238E27FC236}">
                <a16:creationId xmlns:a16="http://schemas.microsoft.com/office/drawing/2014/main" id="{92EEDCC7-5AA1-44EC-A028-014ADAD737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29" name="Gráfico 28" descr="Circle with left arrow con relleno sólido">
            <a:hlinkClick xmlns:r="http://schemas.openxmlformats.org/officeDocument/2006/relationships" r:id="rId3"/>
            <a:extLst>
              <a:ext uri="{FF2B5EF4-FFF2-40B4-BE49-F238E27FC236}">
                <a16:creationId xmlns:a16="http://schemas.microsoft.com/office/drawing/2014/main" id="{641620F3-5740-4ED0-816F-D5D248AE89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39751" y="127001"/>
            <a:ext cx="465667" cy="465667"/>
          </a:xfrm>
          <a:prstGeom prst="rect">
            <a:avLst/>
          </a:prstGeom>
        </xdr:spPr>
      </xdr:pic>
    </xdr:grpSp>
    <xdr:clientData/>
  </xdr:twoCellAnchor>
  <xdr:twoCellAnchor editAs="oneCell">
    <xdr:from>
      <xdr:col>1</xdr:col>
      <xdr:colOff>84666</xdr:colOff>
      <xdr:row>10</xdr:row>
      <xdr:rowOff>158750</xdr:rowOff>
    </xdr:from>
    <xdr:to>
      <xdr:col>9</xdr:col>
      <xdr:colOff>709083</xdr:colOff>
      <xdr:row>18</xdr:row>
      <xdr:rowOff>95250</xdr:rowOff>
    </xdr:to>
    <xdr:grpSp>
      <xdr:nvGrpSpPr>
        <xdr:cNvPr id="30" name="Grupo 29">
          <a:extLst>
            <a:ext uri="{FF2B5EF4-FFF2-40B4-BE49-F238E27FC236}">
              <a16:creationId xmlns:a16="http://schemas.microsoft.com/office/drawing/2014/main" id="{B15B2752-BFA4-418E-AA6B-769ED0F72B96}"/>
            </a:ext>
          </a:extLst>
        </xdr:cNvPr>
        <xdr:cNvGrpSpPr/>
      </xdr:nvGrpSpPr>
      <xdr:grpSpPr>
        <a:xfrm>
          <a:off x="201083" y="1957917"/>
          <a:ext cx="18415000" cy="1375833"/>
          <a:chOff x="257175" y="1764506"/>
          <a:chExt cx="11412313" cy="1322917"/>
        </a:xfrm>
      </xdr:grpSpPr>
      <xdr:grpSp>
        <xdr:nvGrpSpPr>
          <xdr:cNvPr id="31" name="Grupo 30">
            <a:extLst>
              <a:ext uri="{FF2B5EF4-FFF2-40B4-BE49-F238E27FC236}">
                <a16:creationId xmlns:a16="http://schemas.microsoft.com/office/drawing/2014/main" id="{01E05628-7B04-EF5C-C82B-7AB4337463EC}"/>
              </a:ext>
            </a:extLst>
          </xdr:cNvPr>
          <xdr:cNvGrpSpPr/>
        </xdr:nvGrpSpPr>
        <xdr:grpSpPr>
          <a:xfrm>
            <a:off x="257175" y="1764506"/>
            <a:ext cx="11412313" cy="357869"/>
            <a:chOff x="295275" y="923925"/>
            <a:chExt cx="11382377" cy="352426"/>
          </a:xfrm>
        </xdr:grpSpPr>
        <xdr:sp macro="" textlink="">
          <xdr:nvSpPr>
            <xdr:cNvPr id="40" name="Rectángulo: esquinas redondeadas 39">
              <a:extLst>
                <a:ext uri="{FF2B5EF4-FFF2-40B4-BE49-F238E27FC236}">
                  <a16:creationId xmlns:a16="http://schemas.microsoft.com/office/drawing/2014/main" id="{DF51F843-4868-0615-BE55-A3A87DEFECD6}"/>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1" name="Rectángulo: esquinas redondeadas 40">
              <a:extLst>
                <a:ext uri="{FF2B5EF4-FFF2-40B4-BE49-F238E27FC236}">
                  <a16:creationId xmlns:a16="http://schemas.microsoft.com/office/drawing/2014/main" id="{1EE3453F-CACD-C415-F22C-AE7D10BA69FC}"/>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BUSCARV</a:t>
              </a:r>
            </a:p>
          </xdr:txBody>
        </xdr:sp>
        <xdr:sp macro="" textlink="">
          <xdr:nvSpPr>
            <xdr:cNvPr id="42" name="Rectángulo: esquinas redondeadas 41">
              <a:extLst>
                <a:ext uri="{FF2B5EF4-FFF2-40B4-BE49-F238E27FC236}">
                  <a16:creationId xmlns:a16="http://schemas.microsoft.com/office/drawing/2014/main" id="{4ADB91A0-B614-7BDD-035C-F9F4E3D1E97B}"/>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3" name="Rectángulo: esquinas redondeadas 42">
              <a:extLst>
                <a:ext uri="{FF2B5EF4-FFF2-40B4-BE49-F238E27FC236}">
                  <a16:creationId xmlns:a16="http://schemas.microsoft.com/office/drawing/2014/main" id="{B645C4E5-ACAD-690C-FC75-E6B22BB7B356}"/>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Buscado</a:t>
              </a:r>
            </a:p>
          </xdr:txBody>
        </xdr:sp>
        <xdr:sp macro="" textlink="">
          <xdr:nvSpPr>
            <xdr:cNvPr id="44" name="Rectángulo: esquinas redondeadas 43">
              <a:extLst>
                <a:ext uri="{FF2B5EF4-FFF2-40B4-BE49-F238E27FC236}">
                  <a16:creationId xmlns:a16="http://schemas.microsoft.com/office/drawing/2014/main" id="{6C9D7655-F5CD-5016-E506-BBECF31EAE19}"/>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 Tabla</a:t>
              </a:r>
            </a:p>
          </xdr:txBody>
        </xdr:sp>
        <xdr:sp macro="" textlink="">
          <xdr:nvSpPr>
            <xdr:cNvPr id="45" name="Rectángulo: esquinas redondeadas 44">
              <a:extLst>
                <a:ext uri="{FF2B5EF4-FFF2-40B4-BE49-F238E27FC236}">
                  <a16:creationId xmlns:a16="http://schemas.microsoft.com/office/drawing/2014/main" id="{6455F950-D0A2-21BD-EC38-08B52F5E47F3}"/>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Indicador Columnas</a:t>
              </a:r>
            </a:p>
          </xdr:txBody>
        </xdr:sp>
        <xdr:sp macro="" textlink="">
          <xdr:nvSpPr>
            <xdr:cNvPr id="46" name="Rectángulo: esquinas redondeadas 45">
              <a:extLst>
                <a:ext uri="{FF2B5EF4-FFF2-40B4-BE49-F238E27FC236}">
                  <a16:creationId xmlns:a16="http://schemas.microsoft.com/office/drawing/2014/main" id="{09C6AD57-0EE8-242C-64B5-91AD7FC7A782}"/>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7" name="Rectángulo: esquinas redondeadas 46">
              <a:extLst>
                <a:ext uri="{FF2B5EF4-FFF2-40B4-BE49-F238E27FC236}">
                  <a16:creationId xmlns:a16="http://schemas.microsoft.com/office/drawing/2014/main" id="{545D5018-965A-081B-3DDB-8022BF0DF46E}"/>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8" name="Rectángulo: esquinas redondeadas 47">
              <a:extLst>
                <a:ext uri="{FF2B5EF4-FFF2-40B4-BE49-F238E27FC236}">
                  <a16:creationId xmlns:a16="http://schemas.microsoft.com/office/drawing/2014/main" id="{96179EF1-D540-B30F-18F3-763F50D3B47C}"/>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9" name="Rectángulo: esquinas redondeadas 48">
              <a:extLst>
                <a:ext uri="{FF2B5EF4-FFF2-40B4-BE49-F238E27FC236}">
                  <a16:creationId xmlns:a16="http://schemas.microsoft.com/office/drawing/2014/main" id="{AE50DC13-4047-0CE6-92CD-2CEF502994D0}"/>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50" name="Rectángulo: esquinas redondeadas 49">
              <a:extLst>
                <a:ext uri="{FF2B5EF4-FFF2-40B4-BE49-F238E27FC236}">
                  <a16:creationId xmlns:a16="http://schemas.microsoft.com/office/drawing/2014/main" id="{E631429F-EA99-9CB0-7E0A-DBF77B0C9010}"/>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32" name="Rectángulo: esquinas redondeadas 31">
            <a:extLst>
              <a:ext uri="{FF2B5EF4-FFF2-40B4-BE49-F238E27FC236}">
                <a16:creationId xmlns:a16="http://schemas.microsoft.com/office/drawing/2014/main" id="{56478207-9F62-4722-B1FB-5AB99C9477AC}"/>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quieres buscar. Este es el dato que Excel buscará en la primera columna del rango de celdas o tabla.</a:t>
            </a:r>
          </a:p>
        </xdr:txBody>
      </xdr:sp>
      <xdr:pic>
        <xdr:nvPicPr>
          <xdr:cNvPr id="33" name="Gráfico 32" descr="Information con relleno sólido">
            <a:extLst>
              <a:ext uri="{FF2B5EF4-FFF2-40B4-BE49-F238E27FC236}">
                <a16:creationId xmlns:a16="http://schemas.microsoft.com/office/drawing/2014/main" id="{1A8F8B2C-FD19-385B-4279-3AA66E477BB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34" name="Rectángulo: esquinas redondeadas 33">
            <a:extLst>
              <a:ext uri="{FF2B5EF4-FFF2-40B4-BE49-F238E27FC236}">
                <a16:creationId xmlns:a16="http://schemas.microsoft.com/office/drawing/2014/main" id="{6FD50510-D5E5-EEBA-8CC5-33533B20C83B}"/>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que contiene los datos. Debes asegurarte de que la columna que contiene tu valor buscado sea la primera de este rango.</a:t>
            </a:r>
          </a:p>
        </xdr:txBody>
      </xdr:sp>
      <xdr:pic>
        <xdr:nvPicPr>
          <xdr:cNvPr id="35" name="Gráfico 34" descr="Information con relleno sólido">
            <a:extLst>
              <a:ext uri="{FF2B5EF4-FFF2-40B4-BE49-F238E27FC236}">
                <a16:creationId xmlns:a16="http://schemas.microsoft.com/office/drawing/2014/main" id="{D42F8F85-1120-8EAC-701F-3273219DB52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36" name="Rectángulo: esquinas redondeadas 35">
            <a:extLst>
              <a:ext uri="{FF2B5EF4-FFF2-40B4-BE49-F238E27FC236}">
                <a16:creationId xmlns:a16="http://schemas.microsoft.com/office/drawing/2014/main" id="{BADFA8CB-0DFD-DF14-D9FB-AFE7448DB8AE}"/>
              </a:ext>
            </a:extLst>
          </xdr:cNvPr>
          <xdr:cNvSpPr/>
        </xdr:nvSpPr>
        <xdr:spPr>
          <a:xfrm>
            <a:off x="6900182" y="2245178"/>
            <a:ext cx="1980000" cy="84224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número de columna en Matriz Tabla desde donde se devolverá el valor correspondiente. Por ejemplo, si el valor que buscas está en la columna A (que sería la columna 1 de tu Matriz Tabla), y quieres obtener un valor de la columna C, entonces Indicador Columnas sería 3.</a:t>
            </a:r>
          </a:p>
        </xdr:txBody>
      </xdr:sp>
      <xdr:pic>
        <xdr:nvPicPr>
          <xdr:cNvPr id="37" name="Gráfico 36" descr="Information con relleno sólido">
            <a:extLst>
              <a:ext uri="{FF2B5EF4-FFF2-40B4-BE49-F238E27FC236}">
                <a16:creationId xmlns:a16="http://schemas.microsoft.com/office/drawing/2014/main" id="{AE71DA8F-A9AF-E05C-CAD4-B7D919D7320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sp macro="" textlink="">
        <xdr:nvSpPr>
          <xdr:cNvPr id="38" name="Rectángulo: esquinas redondeadas 37">
            <a:extLst>
              <a:ext uri="{FF2B5EF4-FFF2-40B4-BE49-F238E27FC236}">
                <a16:creationId xmlns:a16="http://schemas.microsoft.com/office/drawing/2014/main" id="{6F295D0F-AA7B-4B39-A86F-A0B8089C92F1}"/>
              </a:ext>
            </a:extLst>
          </xdr:cNvPr>
          <xdr:cNvSpPr/>
        </xdr:nvSpPr>
        <xdr:spPr>
          <a:xfrm>
            <a:off x="9338577" y="2261508"/>
            <a:ext cx="1980000" cy="645997"/>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Este argumento determina si quieres una búsqueda exacta o una aproximada. Si es VERDADERO o se omite, BUSCARV realiza una búsqueda aproximada. Si es FALSO, realiza una búsqueda exacta.</a:t>
            </a:r>
          </a:p>
        </xdr:txBody>
      </xdr:sp>
      <xdr:pic>
        <xdr:nvPicPr>
          <xdr:cNvPr id="39" name="Gráfico 38" descr="Information con relleno sólido">
            <a:extLst>
              <a:ext uri="{FF2B5EF4-FFF2-40B4-BE49-F238E27FC236}">
                <a16:creationId xmlns:a16="http://schemas.microsoft.com/office/drawing/2014/main" id="{FE8A5F3F-F8A6-A48F-63A9-6BC907B29BF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76678" y="2271034"/>
            <a:ext cx="161925" cy="161925"/>
          </a:xfrm>
          <a:prstGeom prst="rect">
            <a:avLst/>
          </a:prstGeom>
        </xdr:spPr>
      </xdr:pic>
    </xdr:grpSp>
    <xdr:clientData/>
  </xdr:twoCellAnchor>
  <xdr:twoCellAnchor editAs="oneCell">
    <xdr:from>
      <xdr:col>1</xdr:col>
      <xdr:colOff>17990</xdr:colOff>
      <xdr:row>36</xdr:row>
      <xdr:rowOff>10581</xdr:rowOff>
    </xdr:from>
    <xdr:to>
      <xdr:col>5</xdr:col>
      <xdr:colOff>664809</xdr:colOff>
      <xdr:row>37</xdr:row>
      <xdr:rowOff>74081</xdr:rowOff>
    </xdr:to>
    <xdr:sp macro="" textlink="">
      <xdr:nvSpPr>
        <xdr:cNvPr id="51" name="Rectángulo: esquinas redondeadas 50">
          <a:extLst>
            <a:ext uri="{FF2B5EF4-FFF2-40B4-BE49-F238E27FC236}">
              <a16:creationId xmlns:a16="http://schemas.microsoft.com/office/drawing/2014/main" id="{6F5D218B-D95E-44A0-95C3-C633E6C59D46}"/>
            </a:ext>
          </a:extLst>
        </xdr:cNvPr>
        <xdr:cNvSpPr/>
      </xdr:nvSpPr>
      <xdr:spPr>
        <a:xfrm>
          <a:off x="144990" y="8392581"/>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2</a:t>
          </a:r>
        </a:p>
      </xdr:txBody>
    </xdr:sp>
    <xdr:clientData/>
  </xdr:twoCellAnchor>
  <xdr:twoCellAnchor editAs="oneCell">
    <xdr:from>
      <xdr:col>1</xdr:col>
      <xdr:colOff>0</xdr:colOff>
      <xdr:row>62</xdr:row>
      <xdr:rowOff>222250</xdr:rowOff>
    </xdr:from>
    <xdr:to>
      <xdr:col>5</xdr:col>
      <xdr:colOff>646819</xdr:colOff>
      <xdr:row>64</xdr:row>
      <xdr:rowOff>37042</xdr:rowOff>
    </xdr:to>
    <xdr:sp macro="" textlink="">
      <xdr:nvSpPr>
        <xdr:cNvPr id="52" name="Rectángulo: esquinas redondeadas 51">
          <a:extLst>
            <a:ext uri="{FF2B5EF4-FFF2-40B4-BE49-F238E27FC236}">
              <a16:creationId xmlns:a16="http://schemas.microsoft.com/office/drawing/2014/main" id="{C464D8C2-60FE-4BD5-AB07-B91669F0DB32}"/>
            </a:ext>
          </a:extLst>
        </xdr:cNvPr>
        <xdr:cNvSpPr/>
      </xdr:nvSpPr>
      <xdr:spPr>
        <a:xfrm>
          <a:off x="127000" y="14657917"/>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3</a:t>
          </a:r>
        </a:p>
      </xdr:txBody>
    </xdr:sp>
    <xdr:clientData/>
  </xdr:twoCellAnchor>
  <xdr:twoCellAnchor editAs="oneCell">
    <xdr:from>
      <xdr:col>1</xdr:col>
      <xdr:colOff>28575</xdr:colOff>
      <xdr:row>115</xdr:row>
      <xdr:rowOff>28575</xdr:rowOff>
    </xdr:from>
    <xdr:to>
      <xdr:col>5</xdr:col>
      <xdr:colOff>681744</xdr:colOff>
      <xdr:row>116</xdr:row>
      <xdr:rowOff>76199</xdr:rowOff>
    </xdr:to>
    <xdr:sp macro="" textlink="">
      <xdr:nvSpPr>
        <xdr:cNvPr id="54" name="Rectángulo: esquinas redondeadas 53">
          <a:extLst>
            <a:ext uri="{FF2B5EF4-FFF2-40B4-BE49-F238E27FC236}">
              <a16:creationId xmlns:a16="http://schemas.microsoft.com/office/drawing/2014/main" id="{34E37A4D-66AC-4FA7-A17F-5BA60C75A984}"/>
            </a:ext>
          </a:extLst>
        </xdr:cNvPr>
        <xdr:cNvSpPr/>
      </xdr:nvSpPr>
      <xdr:spPr>
        <a:xfrm>
          <a:off x="155575" y="25407408"/>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116</xdr:row>
      <xdr:rowOff>204258</xdr:rowOff>
    </xdr:from>
    <xdr:to>
      <xdr:col>5</xdr:col>
      <xdr:colOff>721784</xdr:colOff>
      <xdr:row>119</xdr:row>
      <xdr:rowOff>0</xdr:rowOff>
    </xdr:to>
    <xdr:sp macro="" textlink="">
      <xdr:nvSpPr>
        <xdr:cNvPr id="55" name="Rectángulo: esquinas redondeadas 54">
          <a:extLst>
            <a:ext uri="{FF2B5EF4-FFF2-40B4-BE49-F238E27FC236}">
              <a16:creationId xmlns:a16="http://schemas.microsoft.com/office/drawing/2014/main" id="{21E3B1AB-3AD7-4257-BBC4-F90C9CD71B32}"/>
            </a:ext>
          </a:extLst>
        </xdr:cNvPr>
        <xdr:cNvSpPr/>
      </xdr:nvSpPr>
      <xdr:spPr>
        <a:xfrm>
          <a:off x="187324" y="25815925"/>
          <a:ext cx="13581593" cy="49424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BUSCARH (HLOOKUP en inglés) </a:t>
          </a:r>
          <a:r>
            <a:rPr lang="en-US" sz="1000" b="0">
              <a:solidFill>
                <a:schemeClr val="tx1"/>
              </a:solidFill>
              <a:latin typeface="Montserrat" panose="00000500000000000000" pitchFamily="2" charset="0"/>
              <a:ea typeface="+mn-ea"/>
              <a:cs typeface="+mn-cs"/>
            </a:rPr>
            <a:t>es una función en Excel utilizada para buscar un valor en la primera fila de una tabla o rango y devolver un valor en la misma columna desde una fila que tú especifiques. Esta función es especialmente útil cuando los datos están dispuestos horizontalmente.</a:t>
          </a:r>
        </a:p>
      </xdr:txBody>
    </xdr:sp>
    <xdr:clientData/>
  </xdr:twoCellAnchor>
  <xdr:twoCellAnchor editAs="oneCell">
    <xdr:from>
      <xdr:col>1</xdr:col>
      <xdr:colOff>28575</xdr:colOff>
      <xdr:row>119</xdr:row>
      <xdr:rowOff>185208</xdr:rowOff>
    </xdr:from>
    <xdr:to>
      <xdr:col>5</xdr:col>
      <xdr:colOff>681744</xdr:colOff>
      <xdr:row>121</xdr:row>
      <xdr:rowOff>0</xdr:rowOff>
    </xdr:to>
    <xdr:sp macro="" textlink="">
      <xdr:nvSpPr>
        <xdr:cNvPr id="56" name="Rectángulo: esquinas redondeadas 55">
          <a:extLst>
            <a:ext uri="{FF2B5EF4-FFF2-40B4-BE49-F238E27FC236}">
              <a16:creationId xmlns:a16="http://schemas.microsoft.com/office/drawing/2014/main" id="{AF35BE98-CD80-4B6D-BE04-744C9C438632}"/>
            </a:ext>
          </a:extLst>
        </xdr:cNvPr>
        <xdr:cNvSpPr/>
      </xdr:nvSpPr>
      <xdr:spPr>
        <a:xfrm>
          <a:off x="155575" y="26495375"/>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128</xdr:row>
      <xdr:rowOff>147108</xdr:rowOff>
    </xdr:from>
    <xdr:to>
      <xdr:col>5</xdr:col>
      <xdr:colOff>681744</xdr:colOff>
      <xdr:row>129</xdr:row>
      <xdr:rowOff>178858</xdr:rowOff>
    </xdr:to>
    <xdr:sp macro="" textlink="">
      <xdr:nvSpPr>
        <xdr:cNvPr id="75" name="Rectángulo: esquinas redondeadas 74">
          <a:extLst>
            <a:ext uri="{FF2B5EF4-FFF2-40B4-BE49-F238E27FC236}">
              <a16:creationId xmlns:a16="http://schemas.microsoft.com/office/drawing/2014/main" id="{76E0D5B6-1B90-4223-9339-C180A3B17F2C}"/>
            </a:ext>
          </a:extLst>
        </xdr:cNvPr>
        <xdr:cNvSpPr/>
      </xdr:nvSpPr>
      <xdr:spPr>
        <a:xfrm>
          <a:off x="155575" y="28552775"/>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1</a:t>
          </a:r>
        </a:p>
      </xdr:txBody>
    </xdr:sp>
    <xdr:clientData/>
  </xdr:twoCellAnchor>
  <xdr:twoCellAnchor editAs="oneCell">
    <xdr:from>
      <xdr:col>1</xdr:col>
      <xdr:colOff>31751</xdr:colOff>
      <xdr:row>160</xdr:row>
      <xdr:rowOff>128058</xdr:rowOff>
    </xdr:from>
    <xdr:to>
      <xdr:col>5</xdr:col>
      <xdr:colOff>701676</xdr:colOff>
      <xdr:row>161</xdr:row>
      <xdr:rowOff>178857</xdr:rowOff>
    </xdr:to>
    <xdr:sp macro="" textlink="">
      <xdr:nvSpPr>
        <xdr:cNvPr id="76" name="Rectángulo: esquinas redondeadas 75">
          <a:extLst>
            <a:ext uri="{FF2B5EF4-FFF2-40B4-BE49-F238E27FC236}">
              <a16:creationId xmlns:a16="http://schemas.microsoft.com/office/drawing/2014/main" id="{22A5A418-8BCF-4660-8973-12BE6F326E83}"/>
            </a:ext>
          </a:extLst>
        </xdr:cNvPr>
        <xdr:cNvSpPr/>
      </xdr:nvSpPr>
      <xdr:spPr>
        <a:xfrm>
          <a:off x="158751" y="35053058"/>
          <a:ext cx="13599583"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1</xdr:col>
      <xdr:colOff>0</xdr:colOff>
      <xdr:row>165</xdr:row>
      <xdr:rowOff>85724</xdr:rowOff>
    </xdr:from>
    <xdr:to>
      <xdr:col>5</xdr:col>
      <xdr:colOff>739775</xdr:colOff>
      <xdr:row>168</xdr:row>
      <xdr:rowOff>2114</xdr:rowOff>
    </xdr:to>
    <xdr:sp macro="" textlink="">
      <xdr:nvSpPr>
        <xdr:cNvPr id="77" name="Rectángulo: esquinas redondeadas 76">
          <a:extLst>
            <a:ext uri="{FF2B5EF4-FFF2-40B4-BE49-F238E27FC236}">
              <a16:creationId xmlns:a16="http://schemas.microsoft.com/office/drawing/2014/main" id="{D6AD4FD9-A38A-48A1-94D0-BCF986F70484}"/>
            </a:ext>
          </a:extLst>
        </xdr:cNvPr>
        <xdr:cNvSpPr/>
      </xdr:nvSpPr>
      <xdr:spPr>
        <a:xfrm>
          <a:off x="127000" y="36174891"/>
          <a:ext cx="13663083" cy="5714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vechículos en la celda I56 de acuerdo con el año y trimestre seleccionado</a:t>
          </a:r>
        </a:p>
      </xdr:txBody>
    </xdr:sp>
    <xdr:clientData/>
  </xdr:twoCellAnchor>
  <xdr:twoCellAnchor editAs="oneCell">
    <xdr:from>
      <xdr:col>1</xdr:col>
      <xdr:colOff>41275</xdr:colOff>
      <xdr:row>112</xdr:row>
      <xdr:rowOff>0</xdr:rowOff>
    </xdr:from>
    <xdr:to>
      <xdr:col>5</xdr:col>
      <xdr:colOff>778935</xdr:colOff>
      <xdr:row>114</xdr:row>
      <xdr:rowOff>76200</xdr:rowOff>
    </xdr:to>
    <xdr:grpSp>
      <xdr:nvGrpSpPr>
        <xdr:cNvPr id="78" name="Grupo 77">
          <a:extLst>
            <a:ext uri="{FF2B5EF4-FFF2-40B4-BE49-F238E27FC236}">
              <a16:creationId xmlns:a16="http://schemas.microsoft.com/office/drawing/2014/main" id="{C40E0761-32E6-4CAF-8DB0-252C006A233E}"/>
            </a:ext>
          </a:extLst>
        </xdr:cNvPr>
        <xdr:cNvGrpSpPr/>
      </xdr:nvGrpSpPr>
      <xdr:grpSpPr>
        <a:xfrm>
          <a:off x="157692" y="20288250"/>
          <a:ext cx="12220576" cy="436033"/>
          <a:chOff x="136524" y="104775"/>
          <a:chExt cx="13664143" cy="541867"/>
        </a:xfrm>
      </xdr:grpSpPr>
      <xdr:sp macro="" textlink="">
        <xdr:nvSpPr>
          <xdr:cNvPr id="79" name="Rectángulo: esquinas redondeadas 78">
            <a:extLst>
              <a:ext uri="{FF2B5EF4-FFF2-40B4-BE49-F238E27FC236}">
                <a16:creationId xmlns:a16="http://schemas.microsoft.com/office/drawing/2014/main" id="{6E095375-190A-2FCA-22E3-04210055CB92}"/>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80" name="CuadroTexto 79">
            <a:extLst>
              <a:ext uri="{FF2B5EF4-FFF2-40B4-BE49-F238E27FC236}">
                <a16:creationId xmlns:a16="http://schemas.microsoft.com/office/drawing/2014/main" id="{0C5D6849-E36E-EADC-46A4-6A695C7DAEC4}"/>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BUSCARH</a:t>
            </a:r>
          </a:p>
        </xdr:txBody>
      </xdr:sp>
      <xdr:pic>
        <xdr:nvPicPr>
          <xdr:cNvPr id="81" name="Gráfico 80" descr="Search Inventory con relleno sólido">
            <a:extLst>
              <a:ext uri="{FF2B5EF4-FFF2-40B4-BE49-F238E27FC236}">
                <a16:creationId xmlns:a16="http://schemas.microsoft.com/office/drawing/2014/main" id="{432EADD7-2727-15CD-E36C-C4F62925A3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82" name="Gráfico 81" descr="Circle with left arrow con relleno sólido">
            <a:hlinkClick xmlns:r="http://schemas.openxmlformats.org/officeDocument/2006/relationships" r:id="rId3"/>
            <a:extLst>
              <a:ext uri="{FF2B5EF4-FFF2-40B4-BE49-F238E27FC236}">
                <a16:creationId xmlns:a16="http://schemas.microsoft.com/office/drawing/2014/main" id="{50B29755-C674-80A8-687E-79B4C33FC4F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1</xdr:col>
      <xdr:colOff>52916</xdr:colOff>
      <xdr:row>122</xdr:row>
      <xdr:rowOff>42334</xdr:rowOff>
    </xdr:from>
    <xdr:to>
      <xdr:col>5</xdr:col>
      <xdr:colOff>741136</xdr:colOff>
      <xdr:row>128</xdr:row>
      <xdr:rowOff>16028</xdr:rowOff>
    </xdr:to>
    <xdr:grpSp>
      <xdr:nvGrpSpPr>
        <xdr:cNvPr id="83" name="Grupo 82">
          <a:extLst>
            <a:ext uri="{FF2B5EF4-FFF2-40B4-BE49-F238E27FC236}">
              <a16:creationId xmlns:a16="http://schemas.microsoft.com/office/drawing/2014/main" id="{3F3E36C2-F5EF-4B89-BA97-E6E9D02473E1}"/>
            </a:ext>
          </a:extLst>
        </xdr:cNvPr>
        <xdr:cNvGrpSpPr/>
      </xdr:nvGrpSpPr>
      <xdr:grpSpPr>
        <a:xfrm>
          <a:off x="169333" y="22129751"/>
          <a:ext cx="12171136" cy="1053194"/>
          <a:chOff x="257175" y="1764506"/>
          <a:chExt cx="11412313" cy="1322917"/>
        </a:xfrm>
      </xdr:grpSpPr>
      <xdr:grpSp>
        <xdr:nvGrpSpPr>
          <xdr:cNvPr id="84" name="Grupo 83">
            <a:extLst>
              <a:ext uri="{FF2B5EF4-FFF2-40B4-BE49-F238E27FC236}">
                <a16:creationId xmlns:a16="http://schemas.microsoft.com/office/drawing/2014/main" id="{C8430794-083A-EAB3-9D6F-A68A0B658249}"/>
              </a:ext>
            </a:extLst>
          </xdr:cNvPr>
          <xdr:cNvGrpSpPr/>
        </xdr:nvGrpSpPr>
        <xdr:grpSpPr>
          <a:xfrm>
            <a:off x="257175" y="1764506"/>
            <a:ext cx="11412313" cy="357869"/>
            <a:chOff x="295275" y="923925"/>
            <a:chExt cx="11382377" cy="352426"/>
          </a:xfrm>
        </xdr:grpSpPr>
        <xdr:sp macro="" textlink="">
          <xdr:nvSpPr>
            <xdr:cNvPr id="93" name="Rectángulo: esquinas redondeadas 92">
              <a:extLst>
                <a:ext uri="{FF2B5EF4-FFF2-40B4-BE49-F238E27FC236}">
                  <a16:creationId xmlns:a16="http://schemas.microsoft.com/office/drawing/2014/main" id="{58653AE1-9A0F-7861-B1CE-A2F5671A6D6D}"/>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4" name="Rectángulo: esquinas redondeadas 93">
              <a:extLst>
                <a:ext uri="{FF2B5EF4-FFF2-40B4-BE49-F238E27FC236}">
                  <a16:creationId xmlns:a16="http://schemas.microsoft.com/office/drawing/2014/main" id="{95E901D3-0ECF-1387-7817-35A32F055DAD}"/>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BUSCARH</a:t>
              </a:r>
            </a:p>
          </xdr:txBody>
        </xdr:sp>
        <xdr:sp macro="" textlink="">
          <xdr:nvSpPr>
            <xdr:cNvPr id="95" name="Rectángulo: esquinas redondeadas 94">
              <a:extLst>
                <a:ext uri="{FF2B5EF4-FFF2-40B4-BE49-F238E27FC236}">
                  <a16:creationId xmlns:a16="http://schemas.microsoft.com/office/drawing/2014/main" id="{0BAACE69-4B1B-5787-17E2-B1BD969C505E}"/>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6" name="Rectángulo: esquinas redondeadas 95">
              <a:extLst>
                <a:ext uri="{FF2B5EF4-FFF2-40B4-BE49-F238E27FC236}">
                  <a16:creationId xmlns:a16="http://schemas.microsoft.com/office/drawing/2014/main" id="{6DE3A3CF-AD3C-A900-E83C-B988B90C3927}"/>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Buscado</a:t>
              </a:r>
            </a:p>
          </xdr:txBody>
        </xdr:sp>
        <xdr:sp macro="" textlink="">
          <xdr:nvSpPr>
            <xdr:cNvPr id="97" name="Rectángulo: esquinas redondeadas 96">
              <a:extLst>
                <a:ext uri="{FF2B5EF4-FFF2-40B4-BE49-F238E27FC236}">
                  <a16:creationId xmlns:a16="http://schemas.microsoft.com/office/drawing/2014/main" id="{AE618B0A-15B7-B83E-9743-6172A2C11EE6}"/>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 Tabla</a:t>
              </a:r>
            </a:p>
          </xdr:txBody>
        </xdr:sp>
        <xdr:sp macro="" textlink="">
          <xdr:nvSpPr>
            <xdr:cNvPr id="98" name="Rectángulo: esquinas redondeadas 97">
              <a:extLst>
                <a:ext uri="{FF2B5EF4-FFF2-40B4-BE49-F238E27FC236}">
                  <a16:creationId xmlns:a16="http://schemas.microsoft.com/office/drawing/2014/main" id="{6F607214-34B2-A6C9-0E83-5C7135BF6DC9}"/>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Indicador Filas</a:t>
              </a:r>
            </a:p>
          </xdr:txBody>
        </xdr:sp>
        <xdr:sp macro="" textlink="">
          <xdr:nvSpPr>
            <xdr:cNvPr id="99" name="Rectángulo: esquinas redondeadas 98">
              <a:extLst>
                <a:ext uri="{FF2B5EF4-FFF2-40B4-BE49-F238E27FC236}">
                  <a16:creationId xmlns:a16="http://schemas.microsoft.com/office/drawing/2014/main" id="{1A1D7079-2482-FB9B-221B-56D2F54686EC}"/>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0" name="Rectángulo: esquinas redondeadas 99">
              <a:extLst>
                <a:ext uri="{FF2B5EF4-FFF2-40B4-BE49-F238E27FC236}">
                  <a16:creationId xmlns:a16="http://schemas.microsoft.com/office/drawing/2014/main" id="{9ADFE030-07D0-ACC4-6532-97F8FC1F8629}"/>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1" name="Rectángulo: esquinas redondeadas 100">
              <a:extLst>
                <a:ext uri="{FF2B5EF4-FFF2-40B4-BE49-F238E27FC236}">
                  <a16:creationId xmlns:a16="http://schemas.microsoft.com/office/drawing/2014/main" id="{A2C2C643-280A-7A21-5029-F76A634E62F7}"/>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2" name="Rectángulo: esquinas redondeadas 101">
              <a:extLst>
                <a:ext uri="{FF2B5EF4-FFF2-40B4-BE49-F238E27FC236}">
                  <a16:creationId xmlns:a16="http://schemas.microsoft.com/office/drawing/2014/main" id="{23E4D5C8-A3DF-BEAC-0331-16E36BA10B13}"/>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[Rango]</a:t>
              </a:r>
            </a:p>
          </xdr:txBody>
        </xdr:sp>
        <xdr:sp macro="" textlink="">
          <xdr:nvSpPr>
            <xdr:cNvPr id="103" name="Rectángulo: esquinas redondeadas 102">
              <a:extLst>
                <a:ext uri="{FF2B5EF4-FFF2-40B4-BE49-F238E27FC236}">
                  <a16:creationId xmlns:a16="http://schemas.microsoft.com/office/drawing/2014/main" id="{34E8603E-E410-B687-98ED-AB9194F1EA8D}"/>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85" name="Rectángulo: esquinas redondeadas 84">
            <a:extLst>
              <a:ext uri="{FF2B5EF4-FFF2-40B4-BE49-F238E27FC236}">
                <a16:creationId xmlns:a16="http://schemas.microsoft.com/office/drawing/2014/main" id="{D537F3A9-977F-7FD2-4A27-AB251F605FDC}"/>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quieres buscar. Este es el dato que Excel buscará en la primera fila del rango de celdas o tabla.</a:t>
            </a:r>
          </a:p>
        </xdr:txBody>
      </xdr:sp>
      <xdr:pic>
        <xdr:nvPicPr>
          <xdr:cNvPr id="86" name="Gráfico 85" descr="Information con relleno sólido">
            <a:extLst>
              <a:ext uri="{FF2B5EF4-FFF2-40B4-BE49-F238E27FC236}">
                <a16:creationId xmlns:a16="http://schemas.microsoft.com/office/drawing/2014/main" id="{46114362-3195-C8A5-1802-984574B3FFA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87" name="Rectángulo: esquinas redondeadas 86">
            <a:extLst>
              <a:ext uri="{FF2B5EF4-FFF2-40B4-BE49-F238E27FC236}">
                <a16:creationId xmlns:a16="http://schemas.microsoft.com/office/drawing/2014/main" id="{27D16C60-D221-0AD6-2CA7-B49F9E9E6B7A}"/>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que contiene los datos. Debes asegurarte de que la fila que contiene tu valor buscado sea la primera de este rango.</a:t>
            </a:r>
          </a:p>
        </xdr:txBody>
      </xdr:sp>
      <xdr:pic>
        <xdr:nvPicPr>
          <xdr:cNvPr id="88" name="Gráfico 87" descr="Information con relleno sólido">
            <a:extLst>
              <a:ext uri="{FF2B5EF4-FFF2-40B4-BE49-F238E27FC236}">
                <a16:creationId xmlns:a16="http://schemas.microsoft.com/office/drawing/2014/main" id="{5D8E390B-9780-02E1-73B0-61EBC1C45D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89" name="Rectángulo: esquinas redondeadas 88">
            <a:extLst>
              <a:ext uri="{FF2B5EF4-FFF2-40B4-BE49-F238E27FC236}">
                <a16:creationId xmlns:a16="http://schemas.microsoft.com/office/drawing/2014/main" id="{333A0D8D-B8ED-F461-8621-D127B73C6F7D}"/>
              </a:ext>
            </a:extLst>
          </xdr:cNvPr>
          <xdr:cNvSpPr/>
        </xdr:nvSpPr>
        <xdr:spPr>
          <a:xfrm>
            <a:off x="6900182" y="2245178"/>
            <a:ext cx="1980000" cy="84224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número de fila en Matriz Tabla desde donde se devolverá el valor correspondiente. Por ejemplo, si el valor que buscas está en la fila</a:t>
            </a:r>
            <a:r>
              <a:rPr lang="en-US" sz="600" baseline="0">
                <a:solidFill>
                  <a:schemeClr val="tx1"/>
                </a:solidFill>
                <a:latin typeface="Montserrat" panose="00000500000000000000" pitchFamily="2" charset="0"/>
                <a:ea typeface="+mn-ea"/>
                <a:cs typeface="+mn-cs"/>
              </a:rPr>
              <a:t> 1</a:t>
            </a:r>
            <a:r>
              <a:rPr lang="en-US" sz="600">
                <a:solidFill>
                  <a:schemeClr val="tx1"/>
                </a:solidFill>
                <a:latin typeface="Montserrat" panose="00000500000000000000" pitchFamily="2" charset="0"/>
                <a:ea typeface="+mn-ea"/>
                <a:cs typeface="+mn-cs"/>
              </a:rPr>
              <a:t> (que es donde debe de estar), y quieres obtener un valor de la fila 3, entonces Indicador Filas s sería 3.</a:t>
            </a:r>
          </a:p>
        </xdr:txBody>
      </xdr:sp>
      <xdr:pic>
        <xdr:nvPicPr>
          <xdr:cNvPr id="90" name="Gráfico 89" descr="Information con relleno sólido">
            <a:extLst>
              <a:ext uri="{FF2B5EF4-FFF2-40B4-BE49-F238E27FC236}">
                <a16:creationId xmlns:a16="http://schemas.microsoft.com/office/drawing/2014/main" id="{8E5D1933-21E0-CF84-C698-A5F132711B3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sp macro="" textlink="">
        <xdr:nvSpPr>
          <xdr:cNvPr id="91" name="Rectángulo: esquinas redondeadas 90">
            <a:extLst>
              <a:ext uri="{FF2B5EF4-FFF2-40B4-BE49-F238E27FC236}">
                <a16:creationId xmlns:a16="http://schemas.microsoft.com/office/drawing/2014/main" id="{EC6B211C-B6DB-D816-BC1C-D9AE27307AFF}"/>
              </a:ext>
            </a:extLst>
          </xdr:cNvPr>
          <xdr:cNvSpPr/>
        </xdr:nvSpPr>
        <xdr:spPr>
          <a:xfrm>
            <a:off x="9338577" y="2261508"/>
            <a:ext cx="1980000" cy="645997"/>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Este argumento determina si quieres una búsqueda exacta o una aproximada. Si es VERDADERO o se omite, BUSCARV realiza una búsqueda aproximada. Si es FALSO, realiza una búsqueda exacta.</a:t>
            </a:r>
          </a:p>
        </xdr:txBody>
      </xdr:sp>
      <xdr:pic>
        <xdr:nvPicPr>
          <xdr:cNvPr id="92" name="Gráfico 91" descr="Information con relleno sólido">
            <a:extLst>
              <a:ext uri="{FF2B5EF4-FFF2-40B4-BE49-F238E27FC236}">
                <a16:creationId xmlns:a16="http://schemas.microsoft.com/office/drawing/2014/main" id="{D857A19D-D9EC-A6D5-8C3E-2F756C5634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76678" y="2271034"/>
            <a:ext cx="161925" cy="161925"/>
          </a:xfrm>
          <a:prstGeom prst="rect">
            <a:avLst/>
          </a:prstGeom>
        </xdr:spPr>
      </xdr:pic>
    </xdr:grpSp>
    <xdr:clientData/>
  </xdr:twoCellAnchor>
  <xdr:twoCellAnchor editAs="oneCell">
    <xdr:from>
      <xdr:col>1</xdr:col>
      <xdr:colOff>0</xdr:colOff>
      <xdr:row>140</xdr:row>
      <xdr:rowOff>0</xdr:rowOff>
    </xdr:from>
    <xdr:to>
      <xdr:col>5</xdr:col>
      <xdr:colOff>646819</xdr:colOff>
      <xdr:row>141</xdr:row>
      <xdr:rowOff>53975</xdr:rowOff>
    </xdr:to>
    <xdr:sp macro="" textlink="">
      <xdr:nvSpPr>
        <xdr:cNvPr id="104" name="Rectángulo: esquinas redondeadas 103">
          <a:extLst>
            <a:ext uri="{FF2B5EF4-FFF2-40B4-BE49-F238E27FC236}">
              <a16:creationId xmlns:a16="http://schemas.microsoft.com/office/drawing/2014/main" id="{28AC54E8-E0D4-4332-8387-99636796BBEE}"/>
            </a:ext>
          </a:extLst>
        </xdr:cNvPr>
        <xdr:cNvSpPr/>
      </xdr:nvSpPr>
      <xdr:spPr>
        <a:xfrm>
          <a:off x="127000" y="32829500"/>
          <a:ext cx="13579652" cy="28045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2</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10</xdr:col>
      <xdr:colOff>929393</xdr:colOff>
      <xdr:row>31</xdr:row>
      <xdr:rowOff>6349</xdr:rowOff>
    </xdr:to>
    <xdr:sp macro="" textlink="">
      <xdr:nvSpPr>
        <xdr:cNvPr id="2" name="Rectángulo: esquinas redondeadas 1">
          <a:extLst>
            <a:ext uri="{FF2B5EF4-FFF2-40B4-BE49-F238E27FC236}">
              <a16:creationId xmlns:a16="http://schemas.microsoft.com/office/drawing/2014/main" id="{BC5FD920-C163-4231-904F-F38D23D7D977}"/>
            </a:ext>
          </a:extLst>
        </xdr:cNvPr>
        <xdr:cNvSpPr/>
      </xdr:nvSpPr>
      <xdr:spPr>
        <a:xfrm>
          <a:off x="126999" y="762000"/>
          <a:ext cx="13086469"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10</xdr:col>
      <xdr:colOff>969433</xdr:colOff>
      <xdr:row>32</xdr:row>
      <xdr:rowOff>63500</xdr:rowOff>
    </xdr:to>
    <xdr:sp macro="" textlink="">
      <xdr:nvSpPr>
        <xdr:cNvPr id="3" name="Rectángulo: esquinas redondeadas 2">
          <a:extLst>
            <a:ext uri="{FF2B5EF4-FFF2-40B4-BE49-F238E27FC236}">
              <a16:creationId xmlns:a16="http://schemas.microsoft.com/office/drawing/2014/main" id="{B31F32D4-1C5B-49C8-9828-C2E12AE0E01C}"/>
            </a:ext>
          </a:extLst>
        </xdr:cNvPr>
        <xdr:cNvSpPr/>
      </xdr:nvSpPr>
      <xdr:spPr>
        <a:xfrm>
          <a:off x="154212" y="1085397"/>
          <a:ext cx="13102471" cy="50663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INDICE (INDEX en inglés) </a:t>
          </a:r>
          <a:r>
            <a:rPr lang="en-US" sz="1000" b="0">
              <a:solidFill>
                <a:schemeClr val="tx1"/>
              </a:solidFill>
              <a:latin typeface="Montserrat" panose="00000500000000000000" pitchFamily="2" charset="0"/>
              <a:ea typeface="+mn-ea"/>
              <a:cs typeface="+mn-cs"/>
            </a:rPr>
            <a:t>es una función poderosa en Excel que te permite seleccionar un valor específico dentro de una tabla o rango basado en su ubicación de fila y columna. A diferencia de otras funciones de búsqueda, INDICE no requiere que el rango esté ordenado. Puedes usarla para extraer valores individuales, o como parte de una fórmula más compleja para manipular conjuntos de datos.</a:t>
          </a:r>
        </a:p>
      </xdr:txBody>
    </xdr:sp>
    <xdr:clientData/>
  </xdr:twoCellAnchor>
  <xdr:twoCellAnchor editAs="oneCell">
    <xdr:from>
      <xdr:col>0</xdr:col>
      <xdr:colOff>123824</xdr:colOff>
      <xdr:row>8</xdr:row>
      <xdr:rowOff>57150</xdr:rowOff>
    </xdr:from>
    <xdr:to>
      <xdr:col>10</xdr:col>
      <xdr:colOff>929393</xdr:colOff>
      <xdr:row>31</xdr:row>
      <xdr:rowOff>6350</xdr:rowOff>
    </xdr:to>
    <xdr:sp macro="" textlink="">
      <xdr:nvSpPr>
        <xdr:cNvPr id="4" name="Rectángulo: esquinas redondeadas 3">
          <a:extLst>
            <a:ext uri="{FF2B5EF4-FFF2-40B4-BE49-F238E27FC236}">
              <a16:creationId xmlns:a16="http://schemas.microsoft.com/office/drawing/2014/main" id="{78AF8C51-CD0B-4A4B-967D-DA733A30653C}"/>
            </a:ext>
          </a:extLst>
        </xdr:cNvPr>
        <xdr:cNvSpPr/>
      </xdr:nvSpPr>
      <xdr:spPr>
        <a:xfrm>
          <a:off x="126999" y="1733550"/>
          <a:ext cx="13086469"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10</xdr:col>
      <xdr:colOff>929393</xdr:colOff>
      <xdr:row>31</xdr:row>
      <xdr:rowOff>6349</xdr:rowOff>
    </xdr:to>
    <xdr:sp macro="" textlink="">
      <xdr:nvSpPr>
        <xdr:cNvPr id="5" name="Rectángulo: esquinas redondeadas 4">
          <a:extLst>
            <a:ext uri="{FF2B5EF4-FFF2-40B4-BE49-F238E27FC236}">
              <a16:creationId xmlns:a16="http://schemas.microsoft.com/office/drawing/2014/main" id="{2B37778B-CCB6-488B-B0F5-CF8EFF01F202}"/>
            </a:ext>
          </a:extLst>
        </xdr:cNvPr>
        <xdr:cNvSpPr/>
      </xdr:nvSpPr>
      <xdr:spPr>
        <a:xfrm>
          <a:off x="126999" y="3581400"/>
          <a:ext cx="13086469"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12699</xdr:colOff>
      <xdr:row>0</xdr:row>
      <xdr:rowOff>0</xdr:rowOff>
    </xdr:from>
    <xdr:to>
      <xdr:col>10</xdr:col>
      <xdr:colOff>1026584</xdr:colOff>
      <xdr:row>32</xdr:row>
      <xdr:rowOff>44450</xdr:rowOff>
    </xdr:to>
    <xdr:grpSp>
      <xdr:nvGrpSpPr>
        <xdr:cNvPr id="8" name="Grupo 7">
          <a:extLst>
            <a:ext uri="{FF2B5EF4-FFF2-40B4-BE49-F238E27FC236}">
              <a16:creationId xmlns:a16="http://schemas.microsoft.com/office/drawing/2014/main" id="{B4A55AAE-4E63-42AB-B6F0-038B9FED5F25}"/>
            </a:ext>
          </a:extLst>
        </xdr:cNvPr>
        <xdr:cNvGrpSpPr/>
      </xdr:nvGrpSpPr>
      <xdr:grpSpPr>
        <a:xfrm>
          <a:off x="128656" y="0"/>
          <a:ext cx="12294798" cy="458580"/>
          <a:chOff x="136524" y="104775"/>
          <a:chExt cx="13664143" cy="541867"/>
        </a:xfrm>
      </xdr:grpSpPr>
      <xdr:sp macro="" textlink="">
        <xdr:nvSpPr>
          <xdr:cNvPr id="9" name="Rectángulo: esquinas redondeadas 8">
            <a:extLst>
              <a:ext uri="{FF2B5EF4-FFF2-40B4-BE49-F238E27FC236}">
                <a16:creationId xmlns:a16="http://schemas.microsoft.com/office/drawing/2014/main" id="{07CB41AB-1FA3-54FF-7842-7661BE5AC82B}"/>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054CEDCA-4A22-F033-89AE-3FD42CDFB552}"/>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INDICE</a:t>
            </a:r>
          </a:p>
        </xdr:txBody>
      </xdr:sp>
      <xdr:pic>
        <xdr:nvPicPr>
          <xdr:cNvPr id="11" name="Gráfico 10" descr="Search Inventory con relleno sólido">
            <a:extLst>
              <a:ext uri="{FF2B5EF4-FFF2-40B4-BE49-F238E27FC236}">
                <a16:creationId xmlns:a16="http://schemas.microsoft.com/office/drawing/2014/main" id="{3A56324B-A6E3-29F7-BB34-2D31AEE97F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12" name="Gráfico 11" descr="Circle with left arrow con relleno sólido">
            <a:hlinkClick xmlns:r="http://schemas.openxmlformats.org/officeDocument/2006/relationships" r:id="rId3"/>
            <a:extLst>
              <a:ext uri="{FF2B5EF4-FFF2-40B4-BE49-F238E27FC236}">
                <a16:creationId xmlns:a16="http://schemas.microsoft.com/office/drawing/2014/main" id="{607CD46E-2734-6F38-878B-11CA8AFCD34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40</xdr:row>
      <xdr:rowOff>28575</xdr:rowOff>
    </xdr:from>
    <xdr:to>
      <xdr:col>10</xdr:col>
      <xdr:colOff>967494</xdr:colOff>
      <xdr:row>41</xdr:row>
      <xdr:rowOff>76196</xdr:rowOff>
    </xdr:to>
    <xdr:sp macro="" textlink="">
      <xdr:nvSpPr>
        <xdr:cNvPr id="36" name="Rectángulo: esquinas redondeadas 35">
          <a:extLst>
            <a:ext uri="{FF2B5EF4-FFF2-40B4-BE49-F238E27FC236}">
              <a16:creationId xmlns:a16="http://schemas.microsoft.com/office/drawing/2014/main" id="{83AD6DB6-A064-4556-A5A9-F41BF460506B}"/>
            </a:ext>
          </a:extLst>
        </xdr:cNvPr>
        <xdr:cNvSpPr/>
      </xdr:nvSpPr>
      <xdr:spPr>
        <a:xfrm>
          <a:off x="149225" y="24123650"/>
          <a:ext cx="13102344" cy="260349"/>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41</xdr:row>
      <xdr:rowOff>161925</xdr:rowOff>
    </xdr:from>
    <xdr:to>
      <xdr:col>11</xdr:col>
      <xdr:colOff>505239</xdr:colOff>
      <xdr:row>45</xdr:row>
      <xdr:rowOff>132522</xdr:rowOff>
    </xdr:to>
    <xdr:sp macro="" textlink="">
      <xdr:nvSpPr>
        <xdr:cNvPr id="37" name="Rectángulo: esquinas redondeadas 36">
          <a:extLst>
            <a:ext uri="{FF2B5EF4-FFF2-40B4-BE49-F238E27FC236}">
              <a16:creationId xmlns:a16="http://schemas.microsoft.com/office/drawing/2014/main" id="{B2FCB72C-8EC7-4D57-842A-B31C24DB6300}"/>
            </a:ext>
          </a:extLst>
        </xdr:cNvPr>
        <xdr:cNvSpPr/>
      </xdr:nvSpPr>
      <xdr:spPr>
        <a:xfrm>
          <a:off x="176281" y="2216012"/>
          <a:ext cx="12810849" cy="69946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COINCIDIR (MATCH en inglés) </a:t>
          </a:r>
          <a:r>
            <a:rPr lang="en-US" sz="1000" b="0">
              <a:solidFill>
                <a:schemeClr val="tx1"/>
              </a:solidFill>
              <a:latin typeface="Montserrat" panose="00000500000000000000" pitchFamily="2" charset="0"/>
              <a:ea typeface="+mn-ea"/>
              <a:cs typeface="+mn-cs"/>
            </a:rPr>
            <a:t>es una función en Excel que busca un valor específico en un rango de celdas y devuelve la posición relativa de ese valor dentro del rango. Es muy útil para encontrar la posición de un elemento sin necesidad de buscarlo manualmente, y es comúnmente usada junto con la función INDICE para localizar un valor dentro de un rango y luego recuperar un valor relacionado de otro rango.</a:t>
          </a:r>
        </a:p>
      </xdr:txBody>
    </xdr:sp>
    <xdr:clientData/>
  </xdr:twoCellAnchor>
  <xdr:twoCellAnchor editAs="oneCell">
    <xdr:from>
      <xdr:col>1</xdr:col>
      <xdr:colOff>14817</xdr:colOff>
      <xdr:row>45</xdr:row>
      <xdr:rowOff>65616</xdr:rowOff>
    </xdr:from>
    <xdr:to>
      <xdr:col>10</xdr:col>
      <xdr:colOff>950561</xdr:colOff>
      <xdr:row>46</xdr:row>
      <xdr:rowOff>95251</xdr:rowOff>
    </xdr:to>
    <xdr:sp macro="" textlink="">
      <xdr:nvSpPr>
        <xdr:cNvPr id="38" name="Rectángulo: esquinas redondeadas 37">
          <a:extLst>
            <a:ext uri="{FF2B5EF4-FFF2-40B4-BE49-F238E27FC236}">
              <a16:creationId xmlns:a16="http://schemas.microsoft.com/office/drawing/2014/main" id="{CBA48C07-6912-4329-8836-E69D6AD2A2D4}"/>
            </a:ext>
          </a:extLst>
        </xdr:cNvPr>
        <xdr:cNvSpPr/>
      </xdr:nvSpPr>
      <xdr:spPr>
        <a:xfrm>
          <a:off x="141817" y="17422283"/>
          <a:ext cx="13109752" cy="24130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53</xdr:row>
      <xdr:rowOff>147108</xdr:rowOff>
    </xdr:from>
    <xdr:to>
      <xdr:col>10</xdr:col>
      <xdr:colOff>967494</xdr:colOff>
      <xdr:row>55</xdr:row>
      <xdr:rowOff>3439</xdr:rowOff>
    </xdr:to>
    <xdr:sp macro="" textlink="">
      <xdr:nvSpPr>
        <xdr:cNvPr id="39" name="Rectángulo: esquinas redondeadas 38">
          <a:extLst>
            <a:ext uri="{FF2B5EF4-FFF2-40B4-BE49-F238E27FC236}">
              <a16:creationId xmlns:a16="http://schemas.microsoft.com/office/drawing/2014/main" id="{5CBAF41C-2C34-4014-A608-43BF74BF701A}"/>
            </a:ext>
          </a:extLst>
        </xdr:cNvPr>
        <xdr:cNvSpPr/>
      </xdr:nvSpPr>
      <xdr:spPr>
        <a:xfrm>
          <a:off x="149225" y="26966333"/>
          <a:ext cx="13102344"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44450</xdr:colOff>
      <xdr:row>37</xdr:row>
      <xdr:rowOff>0</xdr:rowOff>
    </xdr:from>
    <xdr:to>
      <xdr:col>10</xdr:col>
      <xdr:colOff>1064685</xdr:colOff>
      <xdr:row>39</xdr:row>
      <xdr:rowOff>73024</xdr:rowOff>
    </xdr:to>
    <xdr:grpSp>
      <xdr:nvGrpSpPr>
        <xdr:cNvPr id="42" name="Grupo 41">
          <a:extLst>
            <a:ext uri="{FF2B5EF4-FFF2-40B4-BE49-F238E27FC236}">
              <a16:creationId xmlns:a16="http://schemas.microsoft.com/office/drawing/2014/main" id="{4DA87DF9-C0DF-44AF-9031-A9F836A1D180}"/>
            </a:ext>
          </a:extLst>
        </xdr:cNvPr>
        <xdr:cNvGrpSpPr/>
      </xdr:nvGrpSpPr>
      <xdr:grpSpPr>
        <a:xfrm>
          <a:off x="160407" y="1374913"/>
          <a:ext cx="12301148" cy="437459"/>
          <a:chOff x="136524" y="104775"/>
          <a:chExt cx="13664143" cy="541867"/>
        </a:xfrm>
      </xdr:grpSpPr>
      <xdr:sp macro="" textlink="">
        <xdr:nvSpPr>
          <xdr:cNvPr id="43" name="Rectángulo: esquinas redondeadas 42">
            <a:extLst>
              <a:ext uri="{FF2B5EF4-FFF2-40B4-BE49-F238E27FC236}">
                <a16:creationId xmlns:a16="http://schemas.microsoft.com/office/drawing/2014/main" id="{8AF5D39B-AA0D-EFA9-A8F7-C9A1BBD626A3}"/>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4" name="CuadroTexto 43">
            <a:extLst>
              <a:ext uri="{FF2B5EF4-FFF2-40B4-BE49-F238E27FC236}">
                <a16:creationId xmlns:a16="http://schemas.microsoft.com/office/drawing/2014/main" id="{B83EB220-2180-28BB-57CD-E9C684AD5CB0}"/>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COINCIDIR</a:t>
            </a:r>
          </a:p>
        </xdr:txBody>
      </xdr:sp>
      <xdr:pic>
        <xdr:nvPicPr>
          <xdr:cNvPr id="45" name="Gráfico 44" descr="Search Inventory con relleno sólido">
            <a:extLst>
              <a:ext uri="{FF2B5EF4-FFF2-40B4-BE49-F238E27FC236}">
                <a16:creationId xmlns:a16="http://schemas.microsoft.com/office/drawing/2014/main" id="{2E11EA13-FC33-8E8F-A199-A0FF7C0FB3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46" name="Gráfico 45" descr="Circle with left arrow con relleno sólido">
            <a:hlinkClick xmlns:r="http://schemas.openxmlformats.org/officeDocument/2006/relationships" r:id="rId3"/>
            <a:extLst>
              <a:ext uri="{FF2B5EF4-FFF2-40B4-BE49-F238E27FC236}">
                <a16:creationId xmlns:a16="http://schemas.microsoft.com/office/drawing/2014/main" id="{AEDA8F3E-E830-846E-B7B0-2B5AF9F600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1</xdr:col>
      <xdr:colOff>81869</xdr:colOff>
      <xdr:row>32</xdr:row>
      <xdr:rowOff>35719</xdr:rowOff>
    </xdr:from>
    <xdr:to>
      <xdr:col>7</xdr:col>
      <xdr:colOff>30843</xdr:colOff>
      <xdr:row>37</xdr:row>
      <xdr:rowOff>166766</xdr:rowOff>
    </xdr:to>
    <xdr:grpSp>
      <xdr:nvGrpSpPr>
        <xdr:cNvPr id="69" name="Grupo 68">
          <a:extLst>
            <a:ext uri="{FF2B5EF4-FFF2-40B4-BE49-F238E27FC236}">
              <a16:creationId xmlns:a16="http://schemas.microsoft.com/office/drawing/2014/main" id="{69F1DE44-815A-4814-89F0-D79DBB5D5930}"/>
            </a:ext>
          </a:extLst>
        </xdr:cNvPr>
        <xdr:cNvGrpSpPr/>
      </xdr:nvGrpSpPr>
      <xdr:grpSpPr>
        <a:xfrm>
          <a:off x="197826" y="449849"/>
          <a:ext cx="7635234" cy="1091830"/>
          <a:chOff x="276225" y="352425"/>
          <a:chExt cx="9029702" cy="1198618"/>
        </a:xfrm>
      </xdr:grpSpPr>
      <xdr:grpSp>
        <xdr:nvGrpSpPr>
          <xdr:cNvPr id="70" name="Grupo 69">
            <a:extLst>
              <a:ext uri="{FF2B5EF4-FFF2-40B4-BE49-F238E27FC236}">
                <a16:creationId xmlns:a16="http://schemas.microsoft.com/office/drawing/2014/main" id="{1AD4C5A5-91E1-7C9E-83F8-A4696C6E94F6}"/>
              </a:ext>
            </a:extLst>
          </xdr:cNvPr>
          <xdr:cNvGrpSpPr/>
        </xdr:nvGrpSpPr>
        <xdr:grpSpPr>
          <a:xfrm>
            <a:off x="276225" y="352425"/>
            <a:ext cx="9029702" cy="352426"/>
            <a:chOff x="142874" y="2266950"/>
            <a:chExt cx="9029702" cy="352426"/>
          </a:xfrm>
        </xdr:grpSpPr>
        <xdr:sp macro="" textlink="">
          <xdr:nvSpPr>
            <xdr:cNvPr id="78" name="Rectángulo: esquinas redondeadas 77">
              <a:extLst>
                <a:ext uri="{FF2B5EF4-FFF2-40B4-BE49-F238E27FC236}">
                  <a16:creationId xmlns:a16="http://schemas.microsoft.com/office/drawing/2014/main" id="{81A51F03-ECA2-56EC-1B52-D31078C32ABD}"/>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9" name="Rectángulo: esquinas redondeadas 78">
              <a:extLst>
                <a:ext uri="{FF2B5EF4-FFF2-40B4-BE49-F238E27FC236}">
                  <a16:creationId xmlns:a16="http://schemas.microsoft.com/office/drawing/2014/main" id="{E8252537-93CF-419F-533E-9E178F85B42E}"/>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INDICE</a:t>
              </a:r>
            </a:p>
          </xdr:txBody>
        </xdr:sp>
        <xdr:sp macro="" textlink="">
          <xdr:nvSpPr>
            <xdr:cNvPr id="80" name="Rectángulo: esquinas redondeadas 79">
              <a:extLst>
                <a:ext uri="{FF2B5EF4-FFF2-40B4-BE49-F238E27FC236}">
                  <a16:creationId xmlns:a16="http://schemas.microsoft.com/office/drawing/2014/main" id="{7C21E013-2B7D-472D-2FDB-6D59EA9B0E00}"/>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1" name="Rectángulo: esquinas redondeadas 80">
              <a:extLst>
                <a:ext uri="{FF2B5EF4-FFF2-40B4-BE49-F238E27FC236}">
                  <a16:creationId xmlns:a16="http://schemas.microsoft.com/office/drawing/2014/main" id="{360F897A-E2AD-4F54-9913-39C87B60BA62}"/>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a:t>
              </a:r>
            </a:p>
          </xdr:txBody>
        </xdr:sp>
        <xdr:sp macro="" textlink="">
          <xdr:nvSpPr>
            <xdr:cNvPr id="82" name="Rectángulo: esquinas redondeadas 81">
              <a:extLst>
                <a:ext uri="{FF2B5EF4-FFF2-40B4-BE49-F238E27FC236}">
                  <a16:creationId xmlns:a16="http://schemas.microsoft.com/office/drawing/2014/main" id="{BE39E41C-F4D1-CC58-5ECE-6F19033703B0}"/>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Num Fila</a:t>
              </a:r>
            </a:p>
          </xdr:txBody>
        </xdr:sp>
        <xdr:sp macro="" textlink="">
          <xdr:nvSpPr>
            <xdr:cNvPr id="83" name="Rectángulo: esquinas redondeadas 82">
              <a:extLst>
                <a:ext uri="{FF2B5EF4-FFF2-40B4-BE49-F238E27FC236}">
                  <a16:creationId xmlns:a16="http://schemas.microsoft.com/office/drawing/2014/main" id="{2F326476-3C6F-AEDB-4D53-B88F4AFFFE0E}"/>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[Num Columna]</a:t>
              </a:r>
            </a:p>
          </xdr:txBody>
        </xdr:sp>
        <xdr:sp macro="" textlink="">
          <xdr:nvSpPr>
            <xdr:cNvPr id="84" name="Rectángulo: esquinas redondeadas 83">
              <a:extLst>
                <a:ext uri="{FF2B5EF4-FFF2-40B4-BE49-F238E27FC236}">
                  <a16:creationId xmlns:a16="http://schemas.microsoft.com/office/drawing/2014/main" id="{AB2E9D88-F3D0-2B40-5544-0AE0A6053106}"/>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5" name="Rectángulo: esquinas redondeadas 84">
              <a:extLst>
                <a:ext uri="{FF2B5EF4-FFF2-40B4-BE49-F238E27FC236}">
                  <a16:creationId xmlns:a16="http://schemas.microsoft.com/office/drawing/2014/main" id="{E0AEF856-8149-8849-6A6B-8BD17CDBEC09}"/>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6" name="Rectángulo: esquinas redondeadas 85">
              <a:extLst>
                <a:ext uri="{FF2B5EF4-FFF2-40B4-BE49-F238E27FC236}">
                  <a16:creationId xmlns:a16="http://schemas.microsoft.com/office/drawing/2014/main" id="{184EFC3F-58DE-DF7D-EA3D-381C3025C50B}"/>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71" name="Grupo 70">
            <a:extLst>
              <a:ext uri="{FF2B5EF4-FFF2-40B4-BE49-F238E27FC236}">
                <a16:creationId xmlns:a16="http://schemas.microsoft.com/office/drawing/2014/main" id="{4C37DEC0-13E4-2F3E-0E56-AA2BD3538C86}"/>
              </a:ext>
            </a:extLst>
          </xdr:cNvPr>
          <xdr:cNvGrpSpPr/>
        </xdr:nvGrpSpPr>
        <xdr:grpSpPr>
          <a:xfrm>
            <a:off x="2324100" y="819150"/>
            <a:ext cx="6580575" cy="731893"/>
            <a:chOff x="2190749" y="2847975"/>
            <a:chExt cx="6580575" cy="731893"/>
          </a:xfrm>
        </xdr:grpSpPr>
        <xdr:sp macro="" textlink="">
          <xdr:nvSpPr>
            <xdr:cNvPr id="72" name="Rectángulo: esquinas redondeadas 71">
              <a:extLst>
                <a:ext uri="{FF2B5EF4-FFF2-40B4-BE49-F238E27FC236}">
                  <a16:creationId xmlns:a16="http://schemas.microsoft.com/office/drawing/2014/main" id="{412D2204-169F-7E1A-2ED9-6672B9781EA6}"/>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o matriz donde quieres buscar el valor.</a:t>
              </a:r>
            </a:p>
          </xdr:txBody>
        </xdr:sp>
        <xdr:pic>
          <xdr:nvPicPr>
            <xdr:cNvPr id="73" name="Gráfico 72" descr="Information con relleno sólido">
              <a:extLst>
                <a:ext uri="{FF2B5EF4-FFF2-40B4-BE49-F238E27FC236}">
                  <a16:creationId xmlns:a16="http://schemas.microsoft.com/office/drawing/2014/main" id="{5140562E-7CE2-EBFA-D08D-7F6E20C918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74" name="Rectángulo: esquinas redondeadas 73">
              <a:extLst>
                <a:ext uri="{FF2B5EF4-FFF2-40B4-BE49-F238E27FC236}">
                  <a16:creationId xmlns:a16="http://schemas.microsoft.com/office/drawing/2014/main" id="{D1301EE7-68FD-8CB9-87B0-FB3A96139076}"/>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la fila en el array de donde quieres obtener el valor. Si especificas 0, devolverá todos los valores en la num_columna especificada.</a:t>
              </a:r>
            </a:p>
          </xdr:txBody>
        </xdr:sp>
        <xdr:pic>
          <xdr:nvPicPr>
            <xdr:cNvPr id="75" name="Gráfico 74" descr="Information con relleno sólido">
              <a:extLst>
                <a:ext uri="{FF2B5EF4-FFF2-40B4-BE49-F238E27FC236}">
                  <a16:creationId xmlns:a16="http://schemas.microsoft.com/office/drawing/2014/main" id="{9B6208D2-2417-A198-8A7E-82D79D82F7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76" name="Rectángulo: esquinas redondeadas 75">
              <a:extLst>
                <a:ext uri="{FF2B5EF4-FFF2-40B4-BE49-F238E27FC236}">
                  <a16:creationId xmlns:a16="http://schemas.microsoft.com/office/drawing/2014/main" id="{DCBAC513-3BD9-C573-80C1-05B99EC06167}"/>
                </a:ext>
              </a:extLst>
            </xdr:cNvPr>
            <xdr:cNvSpPr/>
          </xdr:nvSpPr>
          <xdr:spPr>
            <a:xfrm>
              <a:off x="6791324" y="2847975"/>
              <a:ext cx="1980000" cy="73189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número de la columna en el array de donde quieres obtener el valor. Si especificas 0, devolverá todos los valores en la num_fila especificada. Si se omite, se asume que el array tiene solo una columna.</a:t>
              </a:r>
            </a:p>
          </xdr:txBody>
        </xdr:sp>
        <xdr:pic>
          <xdr:nvPicPr>
            <xdr:cNvPr id="77" name="Gráfico 76" descr="Information con relleno sólido">
              <a:extLst>
                <a:ext uri="{FF2B5EF4-FFF2-40B4-BE49-F238E27FC236}">
                  <a16:creationId xmlns:a16="http://schemas.microsoft.com/office/drawing/2014/main" id="{E6C97550-E107-923A-7BDC-29311C34E9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0</xdr:col>
      <xdr:colOff>111123</xdr:colOff>
      <xdr:row>75</xdr:row>
      <xdr:rowOff>87844</xdr:rowOff>
    </xdr:from>
    <xdr:to>
      <xdr:col>10</xdr:col>
      <xdr:colOff>928688</xdr:colOff>
      <xdr:row>77</xdr:row>
      <xdr:rowOff>31845</xdr:rowOff>
    </xdr:to>
    <xdr:grpSp>
      <xdr:nvGrpSpPr>
        <xdr:cNvPr id="134" name="Grupo 133">
          <a:extLst>
            <a:ext uri="{FF2B5EF4-FFF2-40B4-BE49-F238E27FC236}">
              <a16:creationId xmlns:a16="http://schemas.microsoft.com/office/drawing/2014/main" id="{0F42D8D3-B607-4EE3-F582-19FCD0FC8440}"/>
            </a:ext>
          </a:extLst>
        </xdr:cNvPr>
        <xdr:cNvGrpSpPr/>
      </xdr:nvGrpSpPr>
      <xdr:grpSpPr>
        <a:xfrm>
          <a:off x="111123" y="8842561"/>
          <a:ext cx="12214435" cy="407827"/>
          <a:chOff x="107948" y="27982336"/>
          <a:chExt cx="13187893" cy="512233"/>
        </a:xfrm>
      </xdr:grpSpPr>
      <xdr:sp macro="" textlink="">
        <xdr:nvSpPr>
          <xdr:cNvPr id="88" name="Rectángulo: esquinas redondeadas 87">
            <a:extLst>
              <a:ext uri="{FF2B5EF4-FFF2-40B4-BE49-F238E27FC236}">
                <a16:creationId xmlns:a16="http://schemas.microsoft.com/office/drawing/2014/main" id="{1A3486E1-821D-47F1-8ADD-3348C658D29A}"/>
              </a:ext>
            </a:extLst>
          </xdr:cNvPr>
          <xdr:cNvSpPr/>
        </xdr:nvSpPr>
        <xdr:spPr>
          <a:xfrm>
            <a:off x="107948" y="27982336"/>
            <a:ext cx="13187893" cy="512233"/>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89" name="CuadroTexto 88">
            <a:extLst>
              <a:ext uri="{FF2B5EF4-FFF2-40B4-BE49-F238E27FC236}">
                <a16:creationId xmlns:a16="http://schemas.microsoft.com/office/drawing/2014/main" id="{B4F5C0C2-394D-4397-AD56-FDE7CA7FA8D0}"/>
              </a:ext>
            </a:extLst>
          </xdr:cNvPr>
          <xdr:cNvSpPr txBox="1"/>
        </xdr:nvSpPr>
        <xdr:spPr>
          <a:xfrm>
            <a:off x="766532" y="28024479"/>
            <a:ext cx="8287702" cy="45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INDICE y COINCIDIR</a:t>
            </a:r>
          </a:p>
        </xdr:txBody>
      </xdr:sp>
      <xdr:pic>
        <xdr:nvPicPr>
          <xdr:cNvPr id="90" name="Gráfico 89" descr="Search Inventory con relleno sólido">
            <a:extLst>
              <a:ext uri="{FF2B5EF4-FFF2-40B4-BE49-F238E27FC236}">
                <a16:creationId xmlns:a16="http://schemas.microsoft.com/office/drawing/2014/main" id="{95D21311-E305-4E9A-842F-42B3C43E56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2965" y="28018706"/>
            <a:ext cx="434935" cy="431698"/>
          </a:xfrm>
          <a:prstGeom prst="rect">
            <a:avLst/>
          </a:prstGeom>
        </xdr:spPr>
      </xdr:pic>
      <xdr:pic>
        <xdr:nvPicPr>
          <xdr:cNvPr id="91" name="Gráfico 90" descr="Circle with left arrow con relleno sólido">
            <a:hlinkClick xmlns:r="http://schemas.openxmlformats.org/officeDocument/2006/relationships" r:id="rId3"/>
            <a:extLst>
              <a:ext uri="{FF2B5EF4-FFF2-40B4-BE49-F238E27FC236}">
                <a16:creationId xmlns:a16="http://schemas.microsoft.com/office/drawing/2014/main" id="{0DB740A0-86F1-4B40-BB3E-CA494A9805C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748516" y="28003216"/>
            <a:ext cx="433237" cy="446997"/>
          </a:xfrm>
          <a:prstGeom prst="rect">
            <a:avLst/>
          </a:prstGeom>
        </xdr:spPr>
      </xdr:pic>
    </xdr:grpSp>
    <xdr:clientData/>
  </xdr:twoCellAnchor>
  <xdr:twoCellAnchor editAs="oneCell">
    <xdr:from>
      <xdr:col>1</xdr:col>
      <xdr:colOff>3174</xdr:colOff>
      <xdr:row>78</xdr:row>
      <xdr:rowOff>0</xdr:rowOff>
    </xdr:from>
    <xdr:to>
      <xdr:col>10</xdr:col>
      <xdr:colOff>929393</xdr:colOff>
      <xdr:row>78</xdr:row>
      <xdr:rowOff>221376</xdr:rowOff>
    </xdr:to>
    <xdr:sp macro="" textlink="">
      <xdr:nvSpPr>
        <xdr:cNvPr id="92" name="Rectángulo: esquinas redondeadas 91">
          <a:extLst>
            <a:ext uri="{FF2B5EF4-FFF2-40B4-BE49-F238E27FC236}">
              <a16:creationId xmlns:a16="http://schemas.microsoft.com/office/drawing/2014/main" id="{D732BE8C-A54E-4869-A123-DA74D30BD819}"/>
            </a:ext>
          </a:extLst>
        </xdr:cNvPr>
        <xdr:cNvSpPr/>
      </xdr:nvSpPr>
      <xdr:spPr>
        <a:xfrm>
          <a:off x="130174" y="25929167"/>
          <a:ext cx="13103402" cy="27199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1</a:t>
          </a:r>
        </a:p>
      </xdr:txBody>
    </xdr:sp>
    <xdr:clientData/>
  </xdr:twoCellAnchor>
  <xdr:twoCellAnchor editAs="oneCell">
    <xdr:from>
      <xdr:col>1</xdr:col>
      <xdr:colOff>3174</xdr:colOff>
      <xdr:row>47</xdr:row>
      <xdr:rowOff>130970</xdr:rowOff>
    </xdr:from>
    <xdr:to>
      <xdr:col>7</xdr:col>
      <xdr:colOff>7710</xdr:colOff>
      <xdr:row>53</xdr:row>
      <xdr:rowOff>35988</xdr:rowOff>
    </xdr:to>
    <xdr:grpSp>
      <xdr:nvGrpSpPr>
        <xdr:cNvPr id="116" name="Grupo 115">
          <a:extLst>
            <a:ext uri="{FF2B5EF4-FFF2-40B4-BE49-F238E27FC236}">
              <a16:creationId xmlns:a16="http://schemas.microsoft.com/office/drawing/2014/main" id="{8F3E5703-C2E3-40B8-AA93-59A0292BFC45}"/>
            </a:ext>
          </a:extLst>
        </xdr:cNvPr>
        <xdr:cNvGrpSpPr/>
      </xdr:nvGrpSpPr>
      <xdr:grpSpPr>
        <a:xfrm>
          <a:off x="119131" y="3328057"/>
          <a:ext cx="7690796" cy="998322"/>
          <a:chOff x="276225" y="352425"/>
          <a:chExt cx="9029702" cy="1093111"/>
        </a:xfrm>
      </xdr:grpSpPr>
      <xdr:grpSp>
        <xdr:nvGrpSpPr>
          <xdr:cNvPr id="117" name="Grupo 116">
            <a:extLst>
              <a:ext uri="{FF2B5EF4-FFF2-40B4-BE49-F238E27FC236}">
                <a16:creationId xmlns:a16="http://schemas.microsoft.com/office/drawing/2014/main" id="{4E0EEA2C-D0B5-F4E8-1A6F-EA2D9C840783}"/>
              </a:ext>
            </a:extLst>
          </xdr:cNvPr>
          <xdr:cNvGrpSpPr/>
        </xdr:nvGrpSpPr>
        <xdr:grpSpPr>
          <a:xfrm>
            <a:off x="276225" y="352425"/>
            <a:ext cx="9029702" cy="352426"/>
            <a:chOff x="142874" y="2266950"/>
            <a:chExt cx="9029702" cy="352426"/>
          </a:xfrm>
        </xdr:grpSpPr>
        <xdr:sp macro="" textlink="">
          <xdr:nvSpPr>
            <xdr:cNvPr id="125" name="Rectángulo: esquinas redondeadas 124">
              <a:extLst>
                <a:ext uri="{FF2B5EF4-FFF2-40B4-BE49-F238E27FC236}">
                  <a16:creationId xmlns:a16="http://schemas.microsoft.com/office/drawing/2014/main" id="{51FB7D7F-4943-5EFC-1A10-430BD37EEFEE}"/>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6" name="Rectángulo: esquinas redondeadas 125">
              <a:extLst>
                <a:ext uri="{FF2B5EF4-FFF2-40B4-BE49-F238E27FC236}">
                  <a16:creationId xmlns:a16="http://schemas.microsoft.com/office/drawing/2014/main" id="{4658825A-B0BA-BC3F-942E-DFA254054FEF}"/>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COINCIDIR</a:t>
              </a:r>
            </a:p>
          </xdr:txBody>
        </xdr:sp>
        <xdr:sp macro="" textlink="">
          <xdr:nvSpPr>
            <xdr:cNvPr id="127" name="Rectángulo: esquinas redondeadas 126">
              <a:extLst>
                <a:ext uri="{FF2B5EF4-FFF2-40B4-BE49-F238E27FC236}">
                  <a16:creationId xmlns:a16="http://schemas.microsoft.com/office/drawing/2014/main" id="{26709709-27FA-B1A4-A586-F66F2198A8F0}"/>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8" name="Rectángulo: esquinas redondeadas 127">
              <a:extLst>
                <a:ext uri="{FF2B5EF4-FFF2-40B4-BE49-F238E27FC236}">
                  <a16:creationId xmlns:a16="http://schemas.microsoft.com/office/drawing/2014/main" id="{0B1D7DF6-3A3E-81CE-B6E2-174B7EA29B19}"/>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Buscado</a:t>
              </a:r>
            </a:p>
          </xdr:txBody>
        </xdr:sp>
        <xdr:sp macro="" textlink="">
          <xdr:nvSpPr>
            <xdr:cNvPr id="129" name="Rectángulo: esquinas redondeadas 128">
              <a:extLst>
                <a:ext uri="{FF2B5EF4-FFF2-40B4-BE49-F238E27FC236}">
                  <a16:creationId xmlns:a16="http://schemas.microsoft.com/office/drawing/2014/main" id="{4C262CC4-8C81-6EC7-EDDA-6C98F6FA47C8}"/>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a:t>
              </a:r>
              <a:r>
                <a:rPr lang="en-US" sz="1000" baseline="0">
                  <a:solidFill>
                    <a:schemeClr val="tx1"/>
                  </a:solidFill>
                  <a:latin typeface="Montserrat" panose="00000500000000000000" pitchFamily="2" charset="0"/>
                  <a:ea typeface="+mn-ea"/>
                  <a:cs typeface="+mn-cs"/>
                </a:rPr>
                <a:t> Buscada</a:t>
              </a:r>
              <a:endParaRPr lang="en-US" sz="1000">
                <a:solidFill>
                  <a:schemeClr val="tx1"/>
                </a:solidFill>
                <a:latin typeface="Montserrat" panose="00000500000000000000" pitchFamily="2" charset="0"/>
                <a:ea typeface="+mn-ea"/>
                <a:cs typeface="+mn-cs"/>
              </a:endParaRPr>
            </a:p>
          </xdr:txBody>
        </xdr:sp>
        <xdr:sp macro="" textlink="">
          <xdr:nvSpPr>
            <xdr:cNvPr id="130" name="Rectángulo: esquinas redondeadas 129">
              <a:extLst>
                <a:ext uri="{FF2B5EF4-FFF2-40B4-BE49-F238E27FC236}">
                  <a16:creationId xmlns:a16="http://schemas.microsoft.com/office/drawing/2014/main" id="{DD69F72E-8DA8-0449-4342-D43937D444FB}"/>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[Tipo de Coincidencia]</a:t>
              </a:r>
            </a:p>
          </xdr:txBody>
        </xdr:sp>
        <xdr:sp macro="" textlink="">
          <xdr:nvSpPr>
            <xdr:cNvPr id="131" name="Rectángulo: esquinas redondeadas 130">
              <a:extLst>
                <a:ext uri="{FF2B5EF4-FFF2-40B4-BE49-F238E27FC236}">
                  <a16:creationId xmlns:a16="http://schemas.microsoft.com/office/drawing/2014/main" id="{D2235866-A5CB-5897-275D-EB8025491FA2}"/>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2" name="Rectángulo: esquinas redondeadas 131">
              <a:extLst>
                <a:ext uri="{FF2B5EF4-FFF2-40B4-BE49-F238E27FC236}">
                  <a16:creationId xmlns:a16="http://schemas.microsoft.com/office/drawing/2014/main" id="{293C36F1-A5AA-E8DB-F070-4EC0CB930050}"/>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33" name="Rectángulo: esquinas redondeadas 132">
              <a:extLst>
                <a:ext uri="{FF2B5EF4-FFF2-40B4-BE49-F238E27FC236}">
                  <a16:creationId xmlns:a16="http://schemas.microsoft.com/office/drawing/2014/main" id="{DD70BE9D-41B3-0178-6ABC-40DE295F24A7}"/>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118" name="Grupo 117">
            <a:extLst>
              <a:ext uri="{FF2B5EF4-FFF2-40B4-BE49-F238E27FC236}">
                <a16:creationId xmlns:a16="http://schemas.microsoft.com/office/drawing/2014/main" id="{4716D7D2-376D-6918-C308-34185B2187E6}"/>
              </a:ext>
            </a:extLst>
          </xdr:cNvPr>
          <xdr:cNvGrpSpPr/>
        </xdr:nvGrpSpPr>
        <xdr:grpSpPr>
          <a:xfrm>
            <a:off x="2324100" y="819150"/>
            <a:ext cx="6580575" cy="626386"/>
            <a:chOff x="2190749" y="2847975"/>
            <a:chExt cx="6580575" cy="626386"/>
          </a:xfrm>
        </xdr:grpSpPr>
        <xdr:sp macro="" textlink="">
          <xdr:nvSpPr>
            <xdr:cNvPr id="119" name="Rectángulo: esquinas redondeadas 118">
              <a:extLst>
                <a:ext uri="{FF2B5EF4-FFF2-40B4-BE49-F238E27FC236}">
                  <a16:creationId xmlns:a16="http://schemas.microsoft.com/office/drawing/2014/main" id="{132360B0-3B19-B3E3-BA06-7BEF59D871C0}"/>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valor que quieres encontrar dentro de matriz_busqueda.</a:t>
              </a:r>
            </a:p>
          </xdr:txBody>
        </xdr:sp>
        <xdr:pic>
          <xdr:nvPicPr>
            <xdr:cNvPr id="120" name="Gráfico 119" descr="Information con relleno sólido">
              <a:extLst>
                <a:ext uri="{FF2B5EF4-FFF2-40B4-BE49-F238E27FC236}">
                  <a16:creationId xmlns:a16="http://schemas.microsoft.com/office/drawing/2014/main" id="{CF3C3F6A-28E4-AB34-843E-30B2CE32F0E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121" name="Rectángulo: esquinas redondeadas 120">
              <a:extLst>
                <a:ext uri="{FF2B5EF4-FFF2-40B4-BE49-F238E27FC236}">
                  <a16:creationId xmlns:a16="http://schemas.microsoft.com/office/drawing/2014/main" id="{4121ADD3-E931-432F-5FF5-1B2206E2A2FE}"/>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en el cual Excel buscará valor_buscado. Este rango puede ser una fila o una columna.</a:t>
              </a:r>
            </a:p>
          </xdr:txBody>
        </xdr:sp>
        <xdr:pic>
          <xdr:nvPicPr>
            <xdr:cNvPr id="122" name="Gráfico 121" descr="Information con relleno sólido">
              <a:extLst>
                <a:ext uri="{FF2B5EF4-FFF2-40B4-BE49-F238E27FC236}">
                  <a16:creationId xmlns:a16="http://schemas.microsoft.com/office/drawing/2014/main" id="{E206147E-9915-828A-5ED5-A9E1D51B39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123" name="Rectángulo: esquinas redondeadas 122">
              <a:extLst>
                <a:ext uri="{FF2B5EF4-FFF2-40B4-BE49-F238E27FC236}">
                  <a16:creationId xmlns:a16="http://schemas.microsoft.com/office/drawing/2014/main" id="{274ABE71-3F93-AC18-9758-7B30F5246305}"/>
                </a:ext>
              </a:extLst>
            </xdr:cNvPr>
            <xdr:cNvSpPr/>
          </xdr:nvSpPr>
          <xdr:spPr>
            <a:xfrm>
              <a:off x="6791324" y="2847975"/>
              <a:ext cx="1980000" cy="626386"/>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Especifica cómo quieres que Excel busque el valor_buscado dentro de matriz_busqueda</a:t>
              </a:r>
            </a:p>
          </xdr:txBody>
        </xdr:sp>
        <xdr:pic>
          <xdr:nvPicPr>
            <xdr:cNvPr id="124" name="Gráfico 123" descr="Information con relleno sólido">
              <a:extLst>
                <a:ext uri="{FF2B5EF4-FFF2-40B4-BE49-F238E27FC236}">
                  <a16:creationId xmlns:a16="http://schemas.microsoft.com/office/drawing/2014/main" id="{9E1DEC24-E67C-CC15-3CCC-BE0EC29B676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0</xdr:colOff>
      <xdr:row>90</xdr:row>
      <xdr:rowOff>0</xdr:rowOff>
    </xdr:from>
    <xdr:to>
      <xdr:col>10</xdr:col>
      <xdr:colOff>929394</xdr:colOff>
      <xdr:row>91</xdr:row>
      <xdr:rowOff>39158</xdr:rowOff>
    </xdr:to>
    <xdr:sp macro="" textlink="">
      <xdr:nvSpPr>
        <xdr:cNvPr id="13" name="Rectángulo: esquinas redondeadas 12">
          <a:extLst>
            <a:ext uri="{FF2B5EF4-FFF2-40B4-BE49-F238E27FC236}">
              <a16:creationId xmlns:a16="http://schemas.microsoft.com/office/drawing/2014/main" id="{0E092C5E-7309-4815-834B-3127CECDB70C}"/>
            </a:ext>
          </a:extLst>
        </xdr:cNvPr>
        <xdr:cNvSpPr/>
      </xdr:nvSpPr>
      <xdr:spPr>
        <a:xfrm>
          <a:off x="127000" y="31932563"/>
          <a:ext cx="13588119" cy="269346"/>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2</a:t>
          </a:r>
        </a:p>
      </xdr:txBody>
    </xdr:sp>
    <xdr:clientData/>
  </xdr:twoCellAnchor>
  <xdr:twoCellAnchor editAs="oneCell">
    <xdr:from>
      <xdr:col>1</xdr:col>
      <xdr:colOff>0</xdr:colOff>
      <xdr:row>103</xdr:row>
      <xdr:rowOff>0</xdr:rowOff>
    </xdr:from>
    <xdr:to>
      <xdr:col>10</xdr:col>
      <xdr:colOff>949325</xdr:colOff>
      <xdr:row>104</xdr:row>
      <xdr:rowOff>53975</xdr:rowOff>
    </xdr:to>
    <xdr:sp macro="" textlink="">
      <xdr:nvSpPr>
        <xdr:cNvPr id="14" name="Rectángulo: esquinas redondeadas 13">
          <a:extLst>
            <a:ext uri="{FF2B5EF4-FFF2-40B4-BE49-F238E27FC236}">
              <a16:creationId xmlns:a16="http://schemas.microsoft.com/office/drawing/2014/main" id="{48764D4B-52A6-4FF4-9917-7BFA1156FCDD}"/>
            </a:ext>
          </a:extLst>
        </xdr:cNvPr>
        <xdr:cNvSpPr/>
      </xdr:nvSpPr>
      <xdr:spPr>
        <a:xfrm>
          <a:off x="127000" y="33004125"/>
          <a:ext cx="13617575" cy="28416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95250</xdr:colOff>
      <xdr:row>107</xdr:row>
      <xdr:rowOff>63501</xdr:rowOff>
    </xdr:from>
    <xdr:to>
      <xdr:col>10</xdr:col>
      <xdr:colOff>993775</xdr:colOff>
      <xdr:row>109</xdr:row>
      <xdr:rowOff>169333</xdr:rowOff>
    </xdr:to>
    <xdr:sp macro="" textlink="">
      <xdr:nvSpPr>
        <xdr:cNvPr id="16" name="Rectángulo: esquinas redondeadas 15">
          <a:extLst>
            <a:ext uri="{FF2B5EF4-FFF2-40B4-BE49-F238E27FC236}">
              <a16:creationId xmlns:a16="http://schemas.microsoft.com/office/drawing/2014/main" id="{6C39D0F7-06B6-49C2-BF77-B37D6E22312E}"/>
            </a:ext>
          </a:extLst>
        </xdr:cNvPr>
        <xdr:cNvSpPr/>
      </xdr:nvSpPr>
      <xdr:spPr>
        <a:xfrm>
          <a:off x="95250" y="33893126"/>
          <a:ext cx="13693775" cy="55985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de vechículos en la celda I56 de acuerdo con el año y trimestre seleccionado</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8</xdr:col>
      <xdr:colOff>454298</xdr:colOff>
      <xdr:row>4</xdr:row>
      <xdr:rowOff>177800</xdr:rowOff>
    </xdr:to>
    <xdr:sp macro="" textlink="">
      <xdr:nvSpPr>
        <xdr:cNvPr id="2" name="Rectángulo: esquinas redondeadas 1">
          <a:extLst>
            <a:ext uri="{FF2B5EF4-FFF2-40B4-BE49-F238E27FC236}">
              <a16:creationId xmlns:a16="http://schemas.microsoft.com/office/drawing/2014/main" id="{2833C01A-3CB3-4482-967B-98309753D9DF}"/>
            </a:ext>
          </a:extLst>
        </xdr:cNvPr>
        <xdr:cNvSpPr/>
      </xdr:nvSpPr>
      <xdr:spPr>
        <a:xfrm>
          <a:off x="123824" y="819150"/>
          <a:ext cx="1357859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28573</xdr:colOff>
      <xdr:row>5</xdr:row>
      <xdr:rowOff>33867</xdr:rowOff>
    </xdr:from>
    <xdr:to>
      <xdr:col>8</xdr:col>
      <xdr:colOff>491163</xdr:colOff>
      <xdr:row>8</xdr:row>
      <xdr:rowOff>1061</xdr:rowOff>
    </xdr:to>
    <xdr:sp macro="" textlink="">
      <xdr:nvSpPr>
        <xdr:cNvPr id="3" name="Rectángulo: esquinas redondeadas 2">
          <a:extLst>
            <a:ext uri="{FF2B5EF4-FFF2-40B4-BE49-F238E27FC236}">
              <a16:creationId xmlns:a16="http://schemas.microsoft.com/office/drawing/2014/main" id="{C62BDF17-8FB4-45BA-9787-274F58589A42}"/>
            </a:ext>
          </a:extLst>
        </xdr:cNvPr>
        <xdr:cNvSpPr/>
      </xdr:nvSpPr>
      <xdr:spPr>
        <a:xfrm>
          <a:off x="155573" y="1198034"/>
          <a:ext cx="13581593" cy="622301"/>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BUSCARX (XLOOKUP en inglés) </a:t>
          </a:r>
          <a:r>
            <a:rPr lang="en-US" sz="1000" b="0">
              <a:solidFill>
                <a:schemeClr val="tx1"/>
              </a:solidFill>
              <a:latin typeface="Montserrat" panose="00000500000000000000" pitchFamily="2" charset="0"/>
              <a:ea typeface="+mn-ea"/>
              <a:cs typeface="+mn-cs"/>
            </a:rPr>
            <a:t>es una función avanzada en Excel que mejora y extiende las capacidades de las funciones clásicas BUSCARV y BUSCARH. BUSCARX busca un valor en un rango o array y devuelve el valor correspondiente de otro rango o array, con mayor flexibilidad. Permite especificar un rango de búsqueda y un rango de retorno independientes, y también gestionar mejor los errores y los valores no encontrados.</a:t>
          </a:r>
        </a:p>
      </xdr:txBody>
    </xdr:sp>
    <xdr:clientData/>
  </xdr:twoCellAnchor>
  <xdr:twoCellAnchor editAs="oneCell">
    <xdr:from>
      <xdr:col>0</xdr:col>
      <xdr:colOff>123824</xdr:colOff>
      <xdr:row>8</xdr:row>
      <xdr:rowOff>57150</xdr:rowOff>
    </xdr:from>
    <xdr:to>
      <xdr:col>8</xdr:col>
      <xdr:colOff>454298</xdr:colOff>
      <xdr:row>9</xdr:row>
      <xdr:rowOff>111125</xdr:rowOff>
    </xdr:to>
    <xdr:sp macro="" textlink="">
      <xdr:nvSpPr>
        <xdr:cNvPr id="4" name="Rectángulo: esquinas redondeadas 3">
          <a:extLst>
            <a:ext uri="{FF2B5EF4-FFF2-40B4-BE49-F238E27FC236}">
              <a16:creationId xmlns:a16="http://schemas.microsoft.com/office/drawing/2014/main" id="{78633136-88BB-46D1-9B82-3722F3A1E373}"/>
            </a:ext>
          </a:extLst>
        </xdr:cNvPr>
        <xdr:cNvSpPr/>
      </xdr:nvSpPr>
      <xdr:spPr>
        <a:xfrm>
          <a:off x="123824" y="1885950"/>
          <a:ext cx="1357859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8</xdr:col>
      <xdr:colOff>454298</xdr:colOff>
      <xdr:row>18</xdr:row>
      <xdr:rowOff>73025</xdr:rowOff>
    </xdr:to>
    <xdr:sp macro="" textlink="">
      <xdr:nvSpPr>
        <xdr:cNvPr id="5" name="Rectángulo: esquinas redondeadas 4">
          <a:extLst>
            <a:ext uri="{FF2B5EF4-FFF2-40B4-BE49-F238E27FC236}">
              <a16:creationId xmlns:a16="http://schemas.microsoft.com/office/drawing/2014/main" id="{99FD5DF1-CD2E-4648-AA29-34B501C9DE88}"/>
            </a:ext>
          </a:extLst>
        </xdr:cNvPr>
        <xdr:cNvSpPr/>
      </xdr:nvSpPr>
      <xdr:spPr>
        <a:xfrm>
          <a:off x="123824" y="3905250"/>
          <a:ext cx="13578594"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1</a:t>
          </a:r>
        </a:p>
      </xdr:txBody>
    </xdr:sp>
    <xdr:clientData/>
  </xdr:twoCellAnchor>
  <xdr:twoCellAnchor editAs="oneCell">
    <xdr:from>
      <xdr:col>1</xdr:col>
      <xdr:colOff>0</xdr:colOff>
      <xdr:row>75</xdr:row>
      <xdr:rowOff>0</xdr:rowOff>
    </xdr:from>
    <xdr:to>
      <xdr:col>8</xdr:col>
      <xdr:colOff>474230</xdr:colOff>
      <xdr:row>76</xdr:row>
      <xdr:rowOff>53977</xdr:rowOff>
    </xdr:to>
    <xdr:sp macro="" textlink="">
      <xdr:nvSpPr>
        <xdr:cNvPr id="6" name="Rectángulo: esquinas redondeadas 5">
          <a:extLst>
            <a:ext uri="{FF2B5EF4-FFF2-40B4-BE49-F238E27FC236}">
              <a16:creationId xmlns:a16="http://schemas.microsoft.com/office/drawing/2014/main" id="{FE61ACF3-1BA0-40DA-8611-F384994B66A3}"/>
            </a:ext>
          </a:extLst>
        </xdr:cNvPr>
        <xdr:cNvSpPr/>
      </xdr:nvSpPr>
      <xdr:spPr>
        <a:xfrm>
          <a:off x="123825" y="17145000"/>
          <a:ext cx="13601700" cy="2762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79</xdr:row>
      <xdr:rowOff>190500</xdr:rowOff>
    </xdr:from>
    <xdr:to>
      <xdr:col>8</xdr:col>
      <xdr:colOff>512329</xdr:colOff>
      <xdr:row>82</xdr:row>
      <xdr:rowOff>73024</xdr:rowOff>
    </xdr:to>
    <xdr:sp macro="" textlink="">
      <xdr:nvSpPr>
        <xdr:cNvPr id="7" name="Rectángulo: esquinas redondeadas 6">
          <a:extLst>
            <a:ext uri="{FF2B5EF4-FFF2-40B4-BE49-F238E27FC236}">
              <a16:creationId xmlns:a16="http://schemas.microsoft.com/office/drawing/2014/main" id="{81E6D768-1FBC-4417-9E8C-AD2854F96A34}"/>
            </a:ext>
          </a:extLst>
        </xdr:cNvPr>
        <xdr:cNvSpPr/>
      </xdr:nvSpPr>
      <xdr:spPr>
        <a:xfrm>
          <a:off x="95249" y="18249900"/>
          <a:ext cx="13662025" cy="5587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a:t>
          </a:r>
          <a:r>
            <a:rPr lang="en-US" sz="1000" b="0" baseline="0">
              <a:solidFill>
                <a:schemeClr val="tx1"/>
              </a:solidFill>
              <a:latin typeface="Montserrat" panose="00000500000000000000" pitchFamily="2" charset="0"/>
              <a:ea typeface="+mn-ea"/>
              <a:cs typeface="+mn-cs"/>
            </a:rPr>
            <a:t> venta del videojuego y zona geográfica seleccionados en las celdas J84 y J85.</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9524</xdr:colOff>
      <xdr:row>0</xdr:row>
      <xdr:rowOff>104775</xdr:rowOff>
    </xdr:from>
    <xdr:to>
      <xdr:col>8</xdr:col>
      <xdr:colOff>548314</xdr:colOff>
      <xdr:row>2</xdr:row>
      <xdr:rowOff>177800</xdr:rowOff>
    </xdr:to>
    <xdr:grpSp>
      <xdr:nvGrpSpPr>
        <xdr:cNvPr id="8" name="Grupo 7">
          <a:extLst>
            <a:ext uri="{FF2B5EF4-FFF2-40B4-BE49-F238E27FC236}">
              <a16:creationId xmlns:a16="http://schemas.microsoft.com/office/drawing/2014/main" id="{77D971C8-E256-4A09-8ED1-0A1F3B598E98}"/>
            </a:ext>
          </a:extLst>
        </xdr:cNvPr>
        <xdr:cNvGrpSpPr/>
      </xdr:nvGrpSpPr>
      <xdr:grpSpPr>
        <a:xfrm>
          <a:off x="125941" y="104775"/>
          <a:ext cx="12286290" cy="432858"/>
          <a:chOff x="136524" y="104775"/>
          <a:chExt cx="13664143" cy="541867"/>
        </a:xfrm>
      </xdr:grpSpPr>
      <xdr:sp macro="" textlink="">
        <xdr:nvSpPr>
          <xdr:cNvPr id="9" name="Rectángulo: esquinas redondeadas 8">
            <a:extLst>
              <a:ext uri="{FF2B5EF4-FFF2-40B4-BE49-F238E27FC236}">
                <a16:creationId xmlns:a16="http://schemas.microsoft.com/office/drawing/2014/main" id="{8BF20092-35D5-B108-ABC5-16CD7982F302}"/>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CA153E5E-DE00-A68D-A39F-8C3F842B7192}"/>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BUSCARX</a:t>
            </a:r>
          </a:p>
        </xdr:txBody>
      </xdr:sp>
      <xdr:pic>
        <xdr:nvPicPr>
          <xdr:cNvPr id="11" name="Gráfico 10" descr="Search Inventory con relleno sólido">
            <a:extLst>
              <a:ext uri="{FF2B5EF4-FFF2-40B4-BE49-F238E27FC236}">
                <a16:creationId xmlns:a16="http://schemas.microsoft.com/office/drawing/2014/main" id="{E3424665-0553-33F5-0364-C0CB94770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12" name="Gráfico 11" descr="Circle with left arrow con relleno sólido">
            <a:hlinkClick xmlns:r="http://schemas.openxmlformats.org/officeDocument/2006/relationships" r:id="rId3"/>
            <a:extLst>
              <a:ext uri="{FF2B5EF4-FFF2-40B4-BE49-F238E27FC236}">
                <a16:creationId xmlns:a16="http://schemas.microsoft.com/office/drawing/2014/main" id="{F24DE24D-ED0D-6DE0-D8E3-F120143FCB7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39751" y="127001"/>
            <a:ext cx="465667" cy="465667"/>
          </a:xfrm>
          <a:prstGeom prst="rect">
            <a:avLst/>
          </a:prstGeom>
        </xdr:spPr>
      </xdr:pic>
    </xdr:grpSp>
    <xdr:clientData/>
  </xdr:twoCellAnchor>
  <xdr:twoCellAnchor editAs="oneCell">
    <xdr:from>
      <xdr:col>1</xdr:col>
      <xdr:colOff>17990</xdr:colOff>
      <xdr:row>40</xdr:row>
      <xdr:rowOff>131808</xdr:rowOff>
    </xdr:from>
    <xdr:to>
      <xdr:col>8</xdr:col>
      <xdr:colOff>472289</xdr:colOff>
      <xdr:row>41</xdr:row>
      <xdr:rowOff>176258</xdr:rowOff>
    </xdr:to>
    <xdr:sp macro="" textlink="">
      <xdr:nvSpPr>
        <xdr:cNvPr id="34" name="Rectángulo: esquinas redondeadas 33">
          <a:extLst>
            <a:ext uri="{FF2B5EF4-FFF2-40B4-BE49-F238E27FC236}">
              <a16:creationId xmlns:a16="http://schemas.microsoft.com/office/drawing/2014/main" id="{6DBC4ED5-0762-427C-8DCD-93D20BA0CB69}"/>
            </a:ext>
          </a:extLst>
        </xdr:cNvPr>
        <xdr:cNvSpPr/>
      </xdr:nvSpPr>
      <xdr:spPr>
        <a:xfrm>
          <a:off x="139217" y="9137263"/>
          <a:ext cx="13566183" cy="27276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2</a:t>
          </a:r>
        </a:p>
      </xdr:txBody>
    </xdr:sp>
    <xdr:clientData/>
  </xdr:twoCellAnchor>
  <xdr:twoCellAnchor editAs="oneCell">
    <xdr:from>
      <xdr:col>1</xdr:col>
      <xdr:colOff>0</xdr:colOff>
      <xdr:row>62</xdr:row>
      <xdr:rowOff>222250</xdr:rowOff>
    </xdr:from>
    <xdr:to>
      <xdr:col>8</xdr:col>
      <xdr:colOff>454299</xdr:colOff>
      <xdr:row>64</xdr:row>
      <xdr:rowOff>37042</xdr:rowOff>
    </xdr:to>
    <xdr:sp macro="" textlink="">
      <xdr:nvSpPr>
        <xdr:cNvPr id="35" name="Rectángulo: esquinas redondeadas 34">
          <a:extLst>
            <a:ext uri="{FF2B5EF4-FFF2-40B4-BE49-F238E27FC236}">
              <a16:creationId xmlns:a16="http://schemas.microsoft.com/office/drawing/2014/main" id="{32421A64-CB68-43E9-8EA5-EA4F6BB7589B}"/>
            </a:ext>
          </a:extLst>
        </xdr:cNvPr>
        <xdr:cNvSpPr/>
      </xdr:nvSpPr>
      <xdr:spPr>
        <a:xfrm>
          <a:off x="123825" y="14395450"/>
          <a:ext cx="13581769" cy="27199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3</a:t>
          </a:r>
        </a:p>
      </xdr:txBody>
    </xdr:sp>
    <xdr:clientData/>
  </xdr:twoCellAnchor>
  <xdr:twoCellAnchor editAs="oneCell">
    <xdr:from>
      <xdr:col>1</xdr:col>
      <xdr:colOff>84667</xdr:colOff>
      <xdr:row>10</xdr:row>
      <xdr:rowOff>158750</xdr:rowOff>
    </xdr:from>
    <xdr:to>
      <xdr:col>9</xdr:col>
      <xdr:colOff>391583</xdr:colOff>
      <xdr:row>17</xdr:row>
      <xdr:rowOff>116417</xdr:rowOff>
    </xdr:to>
    <xdr:grpSp>
      <xdr:nvGrpSpPr>
        <xdr:cNvPr id="87" name="Grupo 86">
          <a:extLst>
            <a:ext uri="{FF2B5EF4-FFF2-40B4-BE49-F238E27FC236}">
              <a16:creationId xmlns:a16="http://schemas.microsoft.com/office/drawing/2014/main" id="{D15E2BA6-3493-B129-C4A5-AB109A4DD85A}"/>
            </a:ext>
          </a:extLst>
        </xdr:cNvPr>
        <xdr:cNvGrpSpPr/>
      </xdr:nvGrpSpPr>
      <xdr:grpSpPr>
        <a:xfrm>
          <a:off x="201084" y="1957917"/>
          <a:ext cx="12975166" cy="1217083"/>
          <a:chOff x="203729" y="2540000"/>
          <a:chExt cx="22809429" cy="1357388"/>
        </a:xfrm>
      </xdr:grpSpPr>
      <xdr:sp macro="" textlink="">
        <xdr:nvSpPr>
          <xdr:cNvPr id="23" name="Rectángulo: esquinas redondeadas 22">
            <a:extLst>
              <a:ext uri="{FF2B5EF4-FFF2-40B4-BE49-F238E27FC236}">
                <a16:creationId xmlns:a16="http://schemas.microsoft.com/office/drawing/2014/main" id="{4B2C2988-CC19-FE04-B972-AF14791512C2}"/>
              </a:ext>
            </a:extLst>
          </xdr:cNvPr>
          <xdr:cNvSpPr/>
        </xdr:nvSpPr>
        <xdr:spPr>
          <a:xfrm>
            <a:off x="203729" y="2540000"/>
            <a:ext cx="526698"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4" name="Rectángulo: esquinas redondeadas 23">
            <a:extLst>
              <a:ext uri="{FF2B5EF4-FFF2-40B4-BE49-F238E27FC236}">
                <a16:creationId xmlns:a16="http://schemas.microsoft.com/office/drawing/2014/main" id="{B675E1AD-5BAA-DFDE-A20E-631F95E2FC3B}"/>
              </a:ext>
            </a:extLst>
          </xdr:cNvPr>
          <xdr:cNvSpPr/>
        </xdr:nvSpPr>
        <xdr:spPr>
          <a:xfrm>
            <a:off x="838465" y="2540000"/>
            <a:ext cx="1566586" cy="369022"/>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BUSCARX</a:t>
            </a:r>
          </a:p>
        </xdr:txBody>
      </xdr:sp>
      <xdr:sp macro="" textlink="">
        <xdr:nvSpPr>
          <xdr:cNvPr id="25" name="Rectángulo: esquinas redondeadas 24">
            <a:extLst>
              <a:ext uri="{FF2B5EF4-FFF2-40B4-BE49-F238E27FC236}">
                <a16:creationId xmlns:a16="http://schemas.microsoft.com/office/drawing/2014/main" id="{90F505A3-1D83-D2C1-6051-3F750BFA838F}"/>
              </a:ext>
            </a:extLst>
          </xdr:cNvPr>
          <xdr:cNvSpPr/>
        </xdr:nvSpPr>
        <xdr:spPr>
          <a:xfrm>
            <a:off x="2499586" y="2540000"/>
            <a:ext cx="459174"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6" name="Rectángulo: esquinas redondeadas 25">
            <a:extLst>
              <a:ext uri="{FF2B5EF4-FFF2-40B4-BE49-F238E27FC236}">
                <a16:creationId xmlns:a16="http://schemas.microsoft.com/office/drawing/2014/main" id="{77512B4E-196D-BA0F-AACE-5A1D2118BC73}"/>
              </a:ext>
            </a:extLst>
          </xdr:cNvPr>
          <xdr:cNvSpPr/>
        </xdr:nvSpPr>
        <xdr:spPr>
          <a:xfrm>
            <a:off x="3107313" y="2540000"/>
            <a:ext cx="2800543"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Buscado</a:t>
            </a:r>
          </a:p>
        </xdr:txBody>
      </xdr:sp>
      <xdr:sp macro="" textlink="">
        <xdr:nvSpPr>
          <xdr:cNvPr id="27" name="Rectángulo: esquinas redondeadas 26">
            <a:extLst>
              <a:ext uri="{FF2B5EF4-FFF2-40B4-BE49-F238E27FC236}">
                <a16:creationId xmlns:a16="http://schemas.microsoft.com/office/drawing/2014/main" id="{27D5C1FE-C0FB-BDE4-D691-504F38804503}"/>
              </a:ext>
            </a:extLst>
          </xdr:cNvPr>
          <xdr:cNvSpPr/>
        </xdr:nvSpPr>
        <xdr:spPr>
          <a:xfrm>
            <a:off x="6436254" y="2540000"/>
            <a:ext cx="2814151"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 Buscada</a:t>
            </a:r>
          </a:p>
        </xdr:txBody>
      </xdr:sp>
      <xdr:sp macro="" textlink="">
        <xdr:nvSpPr>
          <xdr:cNvPr id="28" name="Rectángulo: esquinas redondeadas 27">
            <a:extLst>
              <a:ext uri="{FF2B5EF4-FFF2-40B4-BE49-F238E27FC236}">
                <a16:creationId xmlns:a16="http://schemas.microsoft.com/office/drawing/2014/main" id="{0AEBA898-0157-DC49-A935-7B5AA03F733F}"/>
              </a:ext>
            </a:extLst>
          </xdr:cNvPr>
          <xdr:cNvSpPr/>
        </xdr:nvSpPr>
        <xdr:spPr>
          <a:xfrm>
            <a:off x="9643753" y="2540000"/>
            <a:ext cx="2820954"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Matriz Devuelta</a:t>
            </a:r>
          </a:p>
        </xdr:txBody>
      </xdr:sp>
      <xdr:sp macro="" textlink="">
        <xdr:nvSpPr>
          <xdr:cNvPr id="29" name="Rectángulo: esquinas redondeadas 28">
            <a:extLst>
              <a:ext uri="{FF2B5EF4-FFF2-40B4-BE49-F238E27FC236}">
                <a16:creationId xmlns:a16="http://schemas.microsoft.com/office/drawing/2014/main" id="{4C3C38AC-9A51-73AA-BE37-6510DB9D237B}"/>
              </a:ext>
            </a:extLst>
          </xdr:cNvPr>
          <xdr:cNvSpPr/>
        </xdr:nvSpPr>
        <xdr:spPr>
          <a:xfrm>
            <a:off x="22553984" y="2540001"/>
            <a:ext cx="459174"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0" name="Rectángulo: esquinas redondeadas 29">
            <a:extLst>
              <a:ext uri="{FF2B5EF4-FFF2-40B4-BE49-F238E27FC236}">
                <a16:creationId xmlns:a16="http://schemas.microsoft.com/office/drawing/2014/main" id="{B2E489FF-4EAB-9E57-8B95-F8BD4AC7DBEE}"/>
              </a:ext>
            </a:extLst>
          </xdr:cNvPr>
          <xdr:cNvSpPr/>
        </xdr:nvSpPr>
        <xdr:spPr>
          <a:xfrm>
            <a:off x="6031103" y="2540000"/>
            <a:ext cx="256597"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1" name="Rectángulo: esquinas redondeadas 30">
            <a:extLst>
              <a:ext uri="{FF2B5EF4-FFF2-40B4-BE49-F238E27FC236}">
                <a16:creationId xmlns:a16="http://schemas.microsoft.com/office/drawing/2014/main" id="{834F51A4-3FB2-C52A-0782-D39C84F3089B}"/>
              </a:ext>
            </a:extLst>
          </xdr:cNvPr>
          <xdr:cNvSpPr/>
        </xdr:nvSpPr>
        <xdr:spPr>
          <a:xfrm>
            <a:off x="9319632" y="2540000"/>
            <a:ext cx="256597"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2" name="Rectángulo: esquinas redondeadas 31">
            <a:extLst>
              <a:ext uri="{FF2B5EF4-FFF2-40B4-BE49-F238E27FC236}">
                <a16:creationId xmlns:a16="http://schemas.microsoft.com/office/drawing/2014/main" id="{61455459-C5B9-D164-09A8-08C28A314317}"/>
              </a:ext>
            </a:extLst>
          </xdr:cNvPr>
          <xdr:cNvSpPr/>
        </xdr:nvSpPr>
        <xdr:spPr>
          <a:xfrm>
            <a:off x="12993106" y="2540000"/>
            <a:ext cx="2837962"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[Si no se encuentra]</a:t>
            </a:r>
          </a:p>
        </xdr:txBody>
      </xdr:sp>
      <xdr:sp macro="" textlink="">
        <xdr:nvSpPr>
          <xdr:cNvPr id="33" name="Rectángulo: esquinas redondeadas 32">
            <a:extLst>
              <a:ext uri="{FF2B5EF4-FFF2-40B4-BE49-F238E27FC236}">
                <a16:creationId xmlns:a16="http://schemas.microsoft.com/office/drawing/2014/main" id="{9A6C718A-2385-B8E8-5FA4-12911603204B}"/>
              </a:ext>
            </a:extLst>
          </xdr:cNvPr>
          <xdr:cNvSpPr/>
        </xdr:nvSpPr>
        <xdr:spPr>
          <a:xfrm>
            <a:off x="12587954" y="2540000"/>
            <a:ext cx="256597"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5" name="Rectángulo: esquinas redondeadas 14">
            <a:extLst>
              <a:ext uri="{FF2B5EF4-FFF2-40B4-BE49-F238E27FC236}">
                <a16:creationId xmlns:a16="http://schemas.microsoft.com/office/drawing/2014/main" id="{D4CD6040-8FBD-A900-0013-45B898572ED3}"/>
              </a:ext>
            </a:extLst>
          </xdr:cNvPr>
          <xdr:cNvSpPr/>
        </xdr:nvSpPr>
        <xdr:spPr>
          <a:xfrm>
            <a:off x="3091999" y="3030984"/>
            <a:ext cx="2793179" cy="62821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valor que estás intentando encontrar.</a:t>
            </a:r>
          </a:p>
        </xdr:txBody>
      </xdr:sp>
      <xdr:pic>
        <xdr:nvPicPr>
          <xdr:cNvPr id="16" name="Gráfico 15" descr="Information con relleno sólido">
            <a:extLst>
              <a:ext uri="{FF2B5EF4-FFF2-40B4-BE49-F238E27FC236}">
                <a16:creationId xmlns:a16="http://schemas.microsoft.com/office/drawing/2014/main" id="{BF002213-6F63-6B32-1D31-C9DAE64B51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145879" y="3059363"/>
            <a:ext cx="228983" cy="167618"/>
          </a:xfrm>
          <a:prstGeom prst="rect">
            <a:avLst/>
          </a:prstGeom>
        </xdr:spPr>
      </xdr:pic>
      <xdr:sp macro="" textlink="">
        <xdr:nvSpPr>
          <xdr:cNvPr id="17" name="Rectángulo: esquinas redondeadas 16">
            <a:extLst>
              <a:ext uri="{FF2B5EF4-FFF2-40B4-BE49-F238E27FC236}">
                <a16:creationId xmlns:a16="http://schemas.microsoft.com/office/drawing/2014/main" id="{7F1714C4-564C-1D24-2BBB-937C7D882584}"/>
              </a:ext>
            </a:extLst>
          </xdr:cNvPr>
          <xdr:cNvSpPr/>
        </xdr:nvSpPr>
        <xdr:spPr>
          <a:xfrm>
            <a:off x="6412191" y="3030984"/>
            <a:ext cx="2806787" cy="62821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en el que Excel buscará el valor_buscado.</a:t>
            </a:r>
          </a:p>
        </xdr:txBody>
      </xdr:sp>
      <xdr:pic>
        <xdr:nvPicPr>
          <xdr:cNvPr id="18" name="Gráfico 17" descr="Information con relleno sólido">
            <a:extLst>
              <a:ext uri="{FF2B5EF4-FFF2-40B4-BE49-F238E27FC236}">
                <a16:creationId xmlns:a16="http://schemas.microsoft.com/office/drawing/2014/main" id="{0695BCDE-91E4-FAAA-57C5-9852C7C257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466071" y="3049903"/>
            <a:ext cx="228983" cy="167618"/>
          </a:xfrm>
          <a:prstGeom prst="rect">
            <a:avLst/>
          </a:prstGeom>
        </xdr:spPr>
      </xdr:pic>
      <xdr:grpSp>
        <xdr:nvGrpSpPr>
          <xdr:cNvPr id="75" name="Grupo 74">
            <a:extLst>
              <a:ext uri="{FF2B5EF4-FFF2-40B4-BE49-F238E27FC236}">
                <a16:creationId xmlns:a16="http://schemas.microsoft.com/office/drawing/2014/main" id="{6EB31EEF-EEC1-DAFA-BB44-19A99FF9A6C2}"/>
              </a:ext>
            </a:extLst>
          </xdr:cNvPr>
          <xdr:cNvGrpSpPr/>
        </xdr:nvGrpSpPr>
        <xdr:grpSpPr>
          <a:xfrm>
            <a:off x="9597824" y="3030983"/>
            <a:ext cx="2813590" cy="863684"/>
            <a:chOff x="9601225" y="2949340"/>
            <a:chExt cx="2799983" cy="836470"/>
          </a:xfrm>
        </xdr:grpSpPr>
        <xdr:sp macro="" textlink="">
          <xdr:nvSpPr>
            <xdr:cNvPr id="19" name="Rectángulo: esquinas redondeadas 18">
              <a:extLst>
                <a:ext uri="{FF2B5EF4-FFF2-40B4-BE49-F238E27FC236}">
                  <a16:creationId xmlns:a16="http://schemas.microsoft.com/office/drawing/2014/main" id="{382080FC-C685-D581-B849-ED029DFE1AA7}"/>
                </a:ext>
              </a:extLst>
            </xdr:cNvPr>
            <xdr:cNvSpPr/>
          </xdr:nvSpPr>
          <xdr:spPr>
            <a:xfrm>
              <a:off x="9601225" y="2949340"/>
              <a:ext cx="2799983" cy="83647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rango de celdas de donde se obtendrá el valor resultante si se encuentra una coincidencia.</a:t>
              </a:r>
            </a:p>
          </xdr:txBody>
        </xdr:sp>
        <xdr:pic>
          <xdr:nvPicPr>
            <xdr:cNvPr id="20" name="Gráfico 19" descr="Information con relleno sólido">
              <a:extLst>
                <a:ext uri="{FF2B5EF4-FFF2-40B4-BE49-F238E27FC236}">
                  <a16:creationId xmlns:a16="http://schemas.microsoft.com/office/drawing/2014/main" id="{818FA203-24B7-4B14-7C5C-B9EA7279A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655105" y="2958801"/>
              <a:ext cx="228983" cy="160815"/>
            </a:xfrm>
            <a:prstGeom prst="rect">
              <a:avLst/>
            </a:prstGeom>
          </xdr:spPr>
        </xdr:pic>
      </xdr:grpSp>
      <xdr:grpSp>
        <xdr:nvGrpSpPr>
          <xdr:cNvPr id="76" name="Grupo 75">
            <a:extLst>
              <a:ext uri="{FF2B5EF4-FFF2-40B4-BE49-F238E27FC236}">
                <a16:creationId xmlns:a16="http://schemas.microsoft.com/office/drawing/2014/main" id="{45527648-ACDE-52C9-FF30-D788A36FF6D7}"/>
              </a:ext>
            </a:extLst>
          </xdr:cNvPr>
          <xdr:cNvGrpSpPr/>
        </xdr:nvGrpSpPr>
        <xdr:grpSpPr>
          <a:xfrm>
            <a:off x="13073253" y="3047201"/>
            <a:ext cx="2816991" cy="661979"/>
            <a:chOff x="13049440" y="2965558"/>
            <a:chExt cx="2799983" cy="641568"/>
          </a:xfrm>
        </xdr:grpSpPr>
        <xdr:sp macro="" textlink="">
          <xdr:nvSpPr>
            <xdr:cNvPr id="21" name="Rectángulo: esquinas redondeadas 20">
              <a:extLst>
                <a:ext uri="{FF2B5EF4-FFF2-40B4-BE49-F238E27FC236}">
                  <a16:creationId xmlns:a16="http://schemas.microsoft.com/office/drawing/2014/main" id="{8B13F3EB-A260-B6C5-6909-76BC9162958E}"/>
                </a:ext>
              </a:extLst>
            </xdr:cNvPr>
            <xdr:cNvSpPr/>
          </xdr:nvSpPr>
          <xdr:spPr>
            <a:xfrm>
              <a:off x="13049440" y="2965558"/>
              <a:ext cx="2799983" cy="641568"/>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Valor que devolverá Excel si no se encuentra el valor_buscado. Si se omite, Excel devolverá un error si no encuentra una coincidencia.</a:t>
              </a:r>
            </a:p>
          </xdr:txBody>
        </xdr:sp>
        <xdr:pic>
          <xdr:nvPicPr>
            <xdr:cNvPr id="22" name="Gráfico 21" descr="Information con relleno sólido">
              <a:extLst>
                <a:ext uri="{FF2B5EF4-FFF2-40B4-BE49-F238E27FC236}">
                  <a16:creationId xmlns:a16="http://schemas.microsoft.com/office/drawing/2014/main" id="{9439BA67-CDF8-9B55-ED7E-5B5118D3A1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103320" y="2975019"/>
              <a:ext cx="228983" cy="160815"/>
            </a:xfrm>
            <a:prstGeom prst="rect">
              <a:avLst/>
            </a:prstGeom>
          </xdr:spPr>
        </xdr:pic>
      </xdr:grpSp>
      <xdr:sp macro="" textlink="">
        <xdr:nvSpPr>
          <xdr:cNvPr id="77" name="Rectángulo: esquinas redondeadas 76">
            <a:extLst>
              <a:ext uri="{FF2B5EF4-FFF2-40B4-BE49-F238E27FC236}">
                <a16:creationId xmlns:a16="http://schemas.microsoft.com/office/drawing/2014/main" id="{DC7D337F-FDEB-4E51-BEE9-7ABE4155ED44}"/>
              </a:ext>
            </a:extLst>
          </xdr:cNvPr>
          <xdr:cNvSpPr/>
        </xdr:nvSpPr>
        <xdr:spPr>
          <a:xfrm>
            <a:off x="16290161" y="2542721"/>
            <a:ext cx="2800544"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tx1"/>
                </a:solidFill>
                <a:latin typeface="Montserrat" panose="00000500000000000000" pitchFamily="2" charset="0"/>
                <a:ea typeface="+mn-ea"/>
                <a:cs typeface="+mn-cs"/>
              </a:rPr>
              <a:t>[Modo de coincidencia]</a:t>
            </a:r>
          </a:p>
        </xdr:txBody>
      </xdr:sp>
      <xdr:sp macro="" textlink="">
        <xdr:nvSpPr>
          <xdr:cNvPr id="78" name="Rectángulo: esquinas redondeadas 77">
            <a:extLst>
              <a:ext uri="{FF2B5EF4-FFF2-40B4-BE49-F238E27FC236}">
                <a16:creationId xmlns:a16="http://schemas.microsoft.com/office/drawing/2014/main" id="{4ABCDBEB-AC09-488D-A16D-58C70570823A}"/>
              </a:ext>
            </a:extLst>
          </xdr:cNvPr>
          <xdr:cNvSpPr/>
        </xdr:nvSpPr>
        <xdr:spPr>
          <a:xfrm>
            <a:off x="15966040" y="2542721"/>
            <a:ext cx="256597"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9" name="Rectángulo: esquinas redondeadas 78">
            <a:extLst>
              <a:ext uri="{FF2B5EF4-FFF2-40B4-BE49-F238E27FC236}">
                <a16:creationId xmlns:a16="http://schemas.microsoft.com/office/drawing/2014/main" id="{48059A72-849D-42D7-BA97-06D30B71D195}"/>
              </a:ext>
            </a:extLst>
          </xdr:cNvPr>
          <xdr:cNvSpPr/>
        </xdr:nvSpPr>
        <xdr:spPr>
          <a:xfrm>
            <a:off x="19619104" y="2542721"/>
            <a:ext cx="2814150" cy="36902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[Modo de búsqueda]</a:t>
            </a:r>
          </a:p>
        </xdr:txBody>
      </xdr:sp>
      <xdr:sp macro="" textlink="">
        <xdr:nvSpPr>
          <xdr:cNvPr id="80" name="Rectángulo: esquinas redondeadas 79">
            <a:extLst>
              <a:ext uri="{FF2B5EF4-FFF2-40B4-BE49-F238E27FC236}">
                <a16:creationId xmlns:a16="http://schemas.microsoft.com/office/drawing/2014/main" id="{B4AEDBC0-75BE-4322-967D-4E92F23AD7F4}"/>
              </a:ext>
            </a:extLst>
          </xdr:cNvPr>
          <xdr:cNvSpPr/>
        </xdr:nvSpPr>
        <xdr:spPr>
          <a:xfrm>
            <a:off x="19213952" y="2542721"/>
            <a:ext cx="256597" cy="369022"/>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nvGrpSpPr>
          <xdr:cNvPr id="81" name="Grupo 80">
            <a:extLst>
              <a:ext uri="{FF2B5EF4-FFF2-40B4-BE49-F238E27FC236}">
                <a16:creationId xmlns:a16="http://schemas.microsoft.com/office/drawing/2014/main" id="{5248BFC7-DB5D-4431-9EBE-9610A9558C37}"/>
              </a:ext>
            </a:extLst>
          </xdr:cNvPr>
          <xdr:cNvGrpSpPr/>
        </xdr:nvGrpSpPr>
        <xdr:grpSpPr>
          <a:xfrm>
            <a:off x="16244232" y="3033704"/>
            <a:ext cx="2793180" cy="863684"/>
            <a:chOff x="9601225" y="2949340"/>
            <a:chExt cx="2799983" cy="836470"/>
          </a:xfrm>
        </xdr:grpSpPr>
        <xdr:sp macro="" textlink="">
          <xdr:nvSpPr>
            <xdr:cNvPr id="82" name="Rectángulo: esquinas redondeadas 81">
              <a:extLst>
                <a:ext uri="{FF2B5EF4-FFF2-40B4-BE49-F238E27FC236}">
                  <a16:creationId xmlns:a16="http://schemas.microsoft.com/office/drawing/2014/main" id="{55B56113-8412-0107-020B-CB1BBD2DDB87}"/>
                </a:ext>
              </a:extLst>
            </xdr:cNvPr>
            <xdr:cNvSpPr/>
          </xdr:nvSpPr>
          <xdr:spPr>
            <a:xfrm>
              <a:off x="9601225" y="2949340"/>
              <a:ext cx="2799983" cy="83647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Define el tipo de coincidencia. Puede ser exacta, exacta o la siguiente más pequeña, exacta o la siguiente más grande, o una coincidencia comodín.</a:t>
              </a:r>
            </a:p>
          </xdr:txBody>
        </xdr:sp>
        <xdr:pic>
          <xdr:nvPicPr>
            <xdr:cNvPr id="83" name="Gráfico 82" descr="Information con relleno sólido">
              <a:extLst>
                <a:ext uri="{FF2B5EF4-FFF2-40B4-BE49-F238E27FC236}">
                  <a16:creationId xmlns:a16="http://schemas.microsoft.com/office/drawing/2014/main" id="{58F8DD44-4070-F784-837A-4D8A4875DC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655105" y="2958801"/>
              <a:ext cx="228983" cy="160815"/>
            </a:xfrm>
            <a:prstGeom prst="rect">
              <a:avLst/>
            </a:prstGeom>
          </xdr:spPr>
        </xdr:pic>
      </xdr:grpSp>
      <xdr:grpSp>
        <xdr:nvGrpSpPr>
          <xdr:cNvPr id="84" name="Grupo 83">
            <a:extLst>
              <a:ext uri="{FF2B5EF4-FFF2-40B4-BE49-F238E27FC236}">
                <a16:creationId xmlns:a16="http://schemas.microsoft.com/office/drawing/2014/main" id="{ADCD43E6-CB3B-46D4-9B02-F9F1901C940D}"/>
              </a:ext>
            </a:extLst>
          </xdr:cNvPr>
          <xdr:cNvGrpSpPr/>
        </xdr:nvGrpSpPr>
        <xdr:grpSpPr>
          <a:xfrm>
            <a:off x="19685644" y="3049922"/>
            <a:ext cx="2806786" cy="661979"/>
            <a:chOff x="13049440" y="2965558"/>
            <a:chExt cx="2799983" cy="641568"/>
          </a:xfrm>
        </xdr:grpSpPr>
        <xdr:sp macro="" textlink="">
          <xdr:nvSpPr>
            <xdr:cNvPr id="85" name="Rectángulo: esquinas redondeadas 84">
              <a:extLst>
                <a:ext uri="{FF2B5EF4-FFF2-40B4-BE49-F238E27FC236}">
                  <a16:creationId xmlns:a16="http://schemas.microsoft.com/office/drawing/2014/main" id="{A9469EE7-D152-55D2-8E1D-512C2D7BF9B0}"/>
                </a:ext>
              </a:extLst>
            </xdr:cNvPr>
            <xdr:cNvSpPr/>
          </xdr:nvSpPr>
          <xdr:spPr>
            <a:xfrm>
              <a:off x="13049440" y="2965558"/>
              <a:ext cx="2799983" cy="641568"/>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Especifica la dirección de la búsqueda. Por defecto es de arriba hacia abajo, pero puede modificarse para buscar de abajo hacia arriba.</a:t>
              </a:r>
            </a:p>
          </xdr:txBody>
        </xdr:sp>
        <xdr:pic>
          <xdr:nvPicPr>
            <xdr:cNvPr id="86" name="Gráfico 85" descr="Information con relleno sólido">
              <a:extLst>
                <a:ext uri="{FF2B5EF4-FFF2-40B4-BE49-F238E27FC236}">
                  <a16:creationId xmlns:a16="http://schemas.microsoft.com/office/drawing/2014/main" id="{E400956A-1C9F-896C-85A2-37DB53FB398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103320" y="2975019"/>
              <a:ext cx="228983" cy="160815"/>
            </a:xfrm>
            <a:prstGeom prst="rect">
              <a:avLst/>
            </a:prstGeom>
          </xdr:spPr>
        </xdr:pic>
      </xdr:grpSp>
    </xdr:grp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123824</xdr:colOff>
      <xdr:row>3</xdr:row>
      <xdr:rowOff>133350</xdr:rowOff>
    </xdr:from>
    <xdr:to>
      <xdr:col>12</xdr:col>
      <xdr:colOff>1747838</xdr:colOff>
      <xdr:row>4</xdr:row>
      <xdr:rowOff>177800</xdr:rowOff>
    </xdr:to>
    <xdr:sp macro="" textlink="">
      <xdr:nvSpPr>
        <xdr:cNvPr id="2" name="Rectángulo: esquinas redondeadas 1">
          <a:extLst>
            <a:ext uri="{FF2B5EF4-FFF2-40B4-BE49-F238E27FC236}">
              <a16:creationId xmlns:a16="http://schemas.microsoft.com/office/drawing/2014/main" id="{04CBD589-E735-4822-8DCF-AAF619E8312B}"/>
            </a:ext>
          </a:extLst>
        </xdr:cNvPr>
        <xdr:cNvSpPr/>
      </xdr:nvSpPr>
      <xdr:spPr>
        <a:xfrm>
          <a:off x="126999" y="762000"/>
          <a:ext cx="13083294"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31748</xdr:colOff>
      <xdr:row>5</xdr:row>
      <xdr:rowOff>64861</xdr:rowOff>
    </xdr:from>
    <xdr:to>
      <xdr:col>12</xdr:col>
      <xdr:colOff>1806928</xdr:colOff>
      <xdr:row>7</xdr:row>
      <xdr:rowOff>169636</xdr:rowOff>
    </xdr:to>
    <xdr:sp macro="" textlink="">
      <xdr:nvSpPr>
        <xdr:cNvPr id="3" name="Rectángulo: esquinas redondeadas 2">
          <a:extLst>
            <a:ext uri="{FF2B5EF4-FFF2-40B4-BE49-F238E27FC236}">
              <a16:creationId xmlns:a16="http://schemas.microsoft.com/office/drawing/2014/main" id="{5CA0769E-BAE3-4CA1-B96A-8AFBB0A2C747}"/>
            </a:ext>
          </a:extLst>
        </xdr:cNvPr>
        <xdr:cNvSpPr/>
      </xdr:nvSpPr>
      <xdr:spPr>
        <a:xfrm>
          <a:off x="152398" y="1115786"/>
          <a:ext cx="13104285" cy="511175"/>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SI (IF en inglés) </a:t>
          </a:r>
          <a:r>
            <a:rPr lang="en-US" sz="1000" b="0">
              <a:solidFill>
                <a:schemeClr val="tx1"/>
              </a:solidFill>
              <a:latin typeface="Montserrat" panose="00000500000000000000" pitchFamily="2" charset="0"/>
              <a:ea typeface="+mn-ea"/>
              <a:cs typeface="+mn-cs"/>
            </a:rPr>
            <a:t>es una de las funciones lógicas más conocidas y utilizadas en Excel. Te permite realizar pruebas lógicas sobre un valor o condición y devolver un resultado si la condición es VERDADERA y otro resultado si la condición es FALSA. Es extremadamente útil para la toma de decisiones dentro de tus hojas de cálculo basadas en criterios específicos.</a:t>
          </a:r>
        </a:p>
      </xdr:txBody>
    </xdr:sp>
    <xdr:clientData/>
  </xdr:twoCellAnchor>
  <xdr:twoCellAnchor editAs="oneCell">
    <xdr:from>
      <xdr:col>0</xdr:col>
      <xdr:colOff>123824</xdr:colOff>
      <xdr:row>8</xdr:row>
      <xdr:rowOff>57150</xdr:rowOff>
    </xdr:from>
    <xdr:to>
      <xdr:col>12</xdr:col>
      <xdr:colOff>1747838</xdr:colOff>
      <xdr:row>9</xdr:row>
      <xdr:rowOff>111125</xdr:rowOff>
    </xdr:to>
    <xdr:sp macro="" textlink="">
      <xdr:nvSpPr>
        <xdr:cNvPr id="4" name="Rectángulo: esquinas redondeadas 3">
          <a:extLst>
            <a:ext uri="{FF2B5EF4-FFF2-40B4-BE49-F238E27FC236}">
              <a16:creationId xmlns:a16="http://schemas.microsoft.com/office/drawing/2014/main" id="{67B66A73-72DA-4B39-98E5-FD6597EE1988}"/>
            </a:ext>
          </a:extLst>
        </xdr:cNvPr>
        <xdr:cNvSpPr/>
      </xdr:nvSpPr>
      <xdr:spPr>
        <a:xfrm>
          <a:off x="126999" y="1733550"/>
          <a:ext cx="13083294"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0</xdr:col>
      <xdr:colOff>123824</xdr:colOff>
      <xdr:row>17</xdr:row>
      <xdr:rowOff>19050</xdr:rowOff>
    </xdr:from>
    <xdr:to>
      <xdr:col>12</xdr:col>
      <xdr:colOff>1747838</xdr:colOff>
      <xdr:row>18</xdr:row>
      <xdr:rowOff>73025</xdr:rowOff>
    </xdr:to>
    <xdr:sp macro="" textlink="">
      <xdr:nvSpPr>
        <xdr:cNvPr id="5" name="Rectángulo: esquinas redondeadas 4">
          <a:extLst>
            <a:ext uri="{FF2B5EF4-FFF2-40B4-BE49-F238E27FC236}">
              <a16:creationId xmlns:a16="http://schemas.microsoft.com/office/drawing/2014/main" id="{3128E426-6888-4CAD-B98B-9A843CFED47E}"/>
            </a:ext>
          </a:extLst>
        </xdr:cNvPr>
        <xdr:cNvSpPr/>
      </xdr:nvSpPr>
      <xdr:spPr>
        <a:xfrm>
          <a:off x="126999" y="3581400"/>
          <a:ext cx="13083294"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1</a:t>
          </a:r>
        </a:p>
      </xdr:txBody>
    </xdr:sp>
    <xdr:clientData/>
  </xdr:twoCellAnchor>
  <xdr:twoCellAnchor editAs="oneCell">
    <xdr:from>
      <xdr:col>1</xdr:col>
      <xdr:colOff>0</xdr:colOff>
      <xdr:row>86</xdr:row>
      <xdr:rowOff>0</xdr:rowOff>
    </xdr:from>
    <xdr:to>
      <xdr:col>12</xdr:col>
      <xdr:colOff>1767770</xdr:colOff>
      <xdr:row>87</xdr:row>
      <xdr:rowOff>53976</xdr:rowOff>
    </xdr:to>
    <xdr:sp macro="" textlink="">
      <xdr:nvSpPr>
        <xdr:cNvPr id="6" name="Rectángulo: esquinas redondeadas 5">
          <a:extLst>
            <a:ext uri="{FF2B5EF4-FFF2-40B4-BE49-F238E27FC236}">
              <a16:creationId xmlns:a16="http://schemas.microsoft.com/office/drawing/2014/main" id="{0AB977B6-C23A-4423-BA55-5FACE313E85E}"/>
            </a:ext>
          </a:extLst>
        </xdr:cNvPr>
        <xdr:cNvSpPr/>
      </xdr:nvSpPr>
      <xdr:spPr>
        <a:xfrm>
          <a:off x="123825" y="8020050"/>
          <a:ext cx="13115925" cy="26352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89</xdr:row>
      <xdr:rowOff>190500</xdr:rowOff>
    </xdr:from>
    <xdr:to>
      <xdr:col>12</xdr:col>
      <xdr:colOff>1805869</xdr:colOff>
      <xdr:row>92</xdr:row>
      <xdr:rowOff>73024</xdr:rowOff>
    </xdr:to>
    <xdr:sp macro="" textlink="">
      <xdr:nvSpPr>
        <xdr:cNvPr id="7" name="Rectángulo: esquinas redondeadas 6">
          <a:extLst>
            <a:ext uri="{FF2B5EF4-FFF2-40B4-BE49-F238E27FC236}">
              <a16:creationId xmlns:a16="http://schemas.microsoft.com/office/drawing/2014/main" id="{98C3E297-0684-431A-B944-628C7E3D9421}"/>
            </a:ext>
          </a:extLst>
        </xdr:cNvPr>
        <xdr:cNvSpPr/>
      </xdr:nvSpPr>
      <xdr:spPr>
        <a:xfrm>
          <a:off x="95249" y="9048750"/>
          <a:ext cx="13173075" cy="504824"/>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la cantidad en efectivo que recibirán los empleados según su departamento </a:t>
          </a:r>
          <a:r>
            <a:rPr lang="en-US" sz="1000" b="0" baseline="0">
              <a:solidFill>
                <a:schemeClr val="tx1"/>
              </a:solidFill>
              <a:latin typeface="Montserrat" panose="00000500000000000000" pitchFamily="2" charset="0"/>
              <a:ea typeface="+mn-ea"/>
              <a:cs typeface="+mn-cs"/>
            </a:rPr>
            <a:t>.</a:t>
          </a:r>
          <a:endParaRPr lang="en-US" sz="1000" b="0">
            <a:solidFill>
              <a:schemeClr val="tx1"/>
            </a:solidFill>
            <a:latin typeface="Montserrat" panose="00000500000000000000" pitchFamily="2" charset="0"/>
            <a:ea typeface="+mn-ea"/>
            <a:cs typeface="+mn-cs"/>
          </a:endParaRPr>
        </a:p>
      </xdr:txBody>
    </xdr:sp>
    <xdr:clientData/>
  </xdr:twoCellAnchor>
  <xdr:twoCellAnchor editAs="oneCell">
    <xdr:from>
      <xdr:col>1</xdr:col>
      <xdr:colOff>12699</xdr:colOff>
      <xdr:row>0</xdr:row>
      <xdr:rowOff>101600</xdr:rowOff>
    </xdr:from>
    <xdr:to>
      <xdr:col>12</xdr:col>
      <xdr:colOff>1845029</xdr:colOff>
      <xdr:row>2</xdr:row>
      <xdr:rowOff>177800</xdr:rowOff>
    </xdr:to>
    <xdr:grpSp>
      <xdr:nvGrpSpPr>
        <xdr:cNvPr id="8" name="Grupo 7">
          <a:extLst>
            <a:ext uri="{FF2B5EF4-FFF2-40B4-BE49-F238E27FC236}">
              <a16:creationId xmlns:a16="http://schemas.microsoft.com/office/drawing/2014/main" id="{5CE7B89A-783C-4783-84A2-9354F2CFC15A}"/>
            </a:ext>
          </a:extLst>
        </xdr:cNvPr>
        <xdr:cNvGrpSpPr/>
      </xdr:nvGrpSpPr>
      <xdr:grpSpPr>
        <a:xfrm>
          <a:off x="129116" y="101600"/>
          <a:ext cx="12352163" cy="436033"/>
          <a:chOff x="136524" y="104775"/>
          <a:chExt cx="13664143" cy="541867"/>
        </a:xfrm>
      </xdr:grpSpPr>
      <xdr:sp macro="" textlink="">
        <xdr:nvSpPr>
          <xdr:cNvPr id="9" name="Rectángulo: esquinas redondeadas 8">
            <a:extLst>
              <a:ext uri="{FF2B5EF4-FFF2-40B4-BE49-F238E27FC236}">
                <a16:creationId xmlns:a16="http://schemas.microsoft.com/office/drawing/2014/main" id="{89FACF9E-08F2-890E-E61D-6225480C5133}"/>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915CA9A8-6767-0923-6BA7-2EF78B8C7C3F}"/>
              </a:ext>
            </a:extLst>
          </xdr:cNvPr>
          <xdr:cNvSpPr txBox="1"/>
        </xdr:nvSpPr>
        <xdr:spPr>
          <a:xfrm>
            <a:off x="812800" y="142875"/>
            <a:ext cx="860636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a:t>
            </a:r>
          </a:p>
        </xdr:txBody>
      </xdr:sp>
      <xdr:pic>
        <xdr:nvPicPr>
          <xdr:cNvPr id="12" name="Gráfico 11" descr="Circle with left arrow con relleno sólido">
            <a:hlinkClick xmlns:r="http://schemas.openxmlformats.org/officeDocument/2006/relationships" r:id="rId1"/>
            <a:extLst>
              <a:ext uri="{FF2B5EF4-FFF2-40B4-BE49-F238E27FC236}">
                <a16:creationId xmlns:a16="http://schemas.microsoft.com/office/drawing/2014/main" id="{AFCF68CE-038E-19DD-D64D-7FDFE0E4D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39751" y="127001"/>
            <a:ext cx="465667" cy="465667"/>
          </a:xfrm>
          <a:prstGeom prst="rect">
            <a:avLst/>
          </a:prstGeom>
        </xdr:spPr>
      </xdr:pic>
    </xdr:grpSp>
    <xdr:clientData/>
  </xdr:twoCellAnchor>
  <xdr:twoCellAnchor editAs="oneCell">
    <xdr:from>
      <xdr:col>1</xdr:col>
      <xdr:colOff>28575</xdr:colOff>
      <xdr:row>108</xdr:row>
      <xdr:rowOff>28575</xdr:rowOff>
    </xdr:from>
    <xdr:to>
      <xdr:col>12</xdr:col>
      <xdr:colOff>1785939</xdr:colOff>
      <xdr:row>109</xdr:row>
      <xdr:rowOff>76198</xdr:rowOff>
    </xdr:to>
    <xdr:sp macro="" textlink="">
      <xdr:nvSpPr>
        <xdr:cNvPr id="13" name="Rectángulo: esquinas redondeadas 12">
          <a:extLst>
            <a:ext uri="{FF2B5EF4-FFF2-40B4-BE49-F238E27FC236}">
              <a16:creationId xmlns:a16="http://schemas.microsoft.com/office/drawing/2014/main" id="{AE00175E-D2A3-4244-AD88-AAE99E9B0798}"/>
            </a:ext>
          </a:extLst>
        </xdr:cNvPr>
        <xdr:cNvSpPr/>
      </xdr:nvSpPr>
      <xdr:spPr>
        <a:xfrm>
          <a:off x="149225" y="16903700"/>
          <a:ext cx="13099169" cy="26034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60324</xdr:colOff>
      <xdr:row>109</xdr:row>
      <xdr:rowOff>161925</xdr:rowOff>
    </xdr:from>
    <xdr:to>
      <xdr:col>12</xdr:col>
      <xdr:colOff>1845029</xdr:colOff>
      <xdr:row>112</xdr:row>
      <xdr:rowOff>151342</xdr:rowOff>
    </xdr:to>
    <xdr:sp macro="" textlink="">
      <xdr:nvSpPr>
        <xdr:cNvPr id="14" name="Rectángulo: esquinas redondeadas 13">
          <a:extLst>
            <a:ext uri="{FF2B5EF4-FFF2-40B4-BE49-F238E27FC236}">
              <a16:creationId xmlns:a16="http://schemas.microsoft.com/office/drawing/2014/main" id="{7D5DA712-4BCC-45E1-A6A8-B9A2DC5E8B38}"/>
            </a:ext>
          </a:extLst>
        </xdr:cNvPr>
        <xdr:cNvSpPr/>
      </xdr:nvSpPr>
      <xdr:spPr>
        <a:xfrm>
          <a:off x="184149" y="17246600"/>
          <a:ext cx="13101110" cy="61171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Y (AND en inglés) </a:t>
          </a:r>
          <a:r>
            <a:rPr lang="en-US" sz="1000" b="0">
              <a:solidFill>
                <a:schemeClr val="tx1"/>
              </a:solidFill>
              <a:latin typeface="Montserrat" panose="00000500000000000000" pitchFamily="2" charset="0"/>
              <a:ea typeface="+mn-ea"/>
              <a:cs typeface="+mn-cs"/>
            </a:rPr>
            <a:t>es una función lógica en Excel que te permite verificar si todas las condiciones dentro de un conjunto dado de pruebas son VERDADERAS. Si todas las condiciones son verdaderas, la función devuelve VERDADERO; si alguna de las condiciones es falsa, devuelve FALSO. Es útil para combinar varias condiciones lógicas en una sola prueba.</a:t>
          </a:r>
        </a:p>
      </xdr:txBody>
    </xdr:sp>
    <xdr:clientData/>
  </xdr:twoCellAnchor>
  <xdr:twoCellAnchor editAs="oneCell">
    <xdr:from>
      <xdr:col>1</xdr:col>
      <xdr:colOff>14817</xdr:colOff>
      <xdr:row>113</xdr:row>
      <xdr:rowOff>65616</xdr:rowOff>
    </xdr:from>
    <xdr:to>
      <xdr:col>12</xdr:col>
      <xdr:colOff>1769006</xdr:colOff>
      <xdr:row>114</xdr:row>
      <xdr:rowOff>111125</xdr:rowOff>
    </xdr:to>
    <xdr:sp macro="" textlink="">
      <xdr:nvSpPr>
        <xdr:cNvPr id="15" name="Rectángulo: esquinas redondeadas 14">
          <a:extLst>
            <a:ext uri="{FF2B5EF4-FFF2-40B4-BE49-F238E27FC236}">
              <a16:creationId xmlns:a16="http://schemas.microsoft.com/office/drawing/2014/main" id="{0188BD4F-6C5C-4EC6-BC45-03C8DCCABB0A}"/>
            </a:ext>
          </a:extLst>
        </xdr:cNvPr>
        <xdr:cNvSpPr/>
      </xdr:nvSpPr>
      <xdr:spPr>
        <a:xfrm>
          <a:off x="135467" y="17994841"/>
          <a:ext cx="13105519" cy="23601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28575</xdr:colOff>
      <xdr:row>121</xdr:row>
      <xdr:rowOff>147108</xdr:rowOff>
    </xdr:from>
    <xdr:to>
      <xdr:col>12</xdr:col>
      <xdr:colOff>1785939</xdr:colOff>
      <xdr:row>123</xdr:row>
      <xdr:rowOff>2118</xdr:rowOff>
    </xdr:to>
    <xdr:sp macro="" textlink="">
      <xdr:nvSpPr>
        <xdr:cNvPr id="16" name="Rectángulo: esquinas redondeadas 15">
          <a:extLst>
            <a:ext uri="{FF2B5EF4-FFF2-40B4-BE49-F238E27FC236}">
              <a16:creationId xmlns:a16="http://schemas.microsoft.com/office/drawing/2014/main" id="{90A27153-3E18-47ED-87DE-7507AFF10FE9}"/>
            </a:ext>
          </a:extLst>
        </xdr:cNvPr>
        <xdr:cNvSpPr/>
      </xdr:nvSpPr>
      <xdr:spPr>
        <a:xfrm>
          <a:off x="149225" y="19746383"/>
          <a:ext cx="1309916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47625</xdr:colOff>
      <xdr:row>105</xdr:row>
      <xdr:rowOff>0</xdr:rowOff>
    </xdr:from>
    <xdr:to>
      <xdr:col>12</xdr:col>
      <xdr:colOff>1883130</xdr:colOff>
      <xdr:row>107</xdr:row>
      <xdr:rowOff>73025</xdr:rowOff>
    </xdr:to>
    <xdr:grpSp>
      <xdr:nvGrpSpPr>
        <xdr:cNvPr id="19" name="Grupo 18">
          <a:extLst>
            <a:ext uri="{FF2B5EF4-FFF2-40B4-BE49-F238E27FC236}">
              <a16:creationId xmlns:a16="http://schemas.microsoft.com/office/drawing/2014/main" id="{004A39A9-E6C1-4813-912D-61D87AF98D1B}"/>
            </a:ext>
          </a:extLst>
        </xdr:cNvPr>
        <xdr:cNvGrpSpPr/>
      </xdr:nvGrpSpPr>
      <xdr:grpSpPr>
        <a:xfrm>
          <a:off x="164042" y="19759083"/>
          <a:ext cx="12355338" cy="432859"/>
          <a:chOff x="136524" y="104775"/>
          <a:chExt cx="13664143" cy="541867"/>
        </a:xfrm>
      </xdr:grpSpPr>
      <xdr:sp macro="" textlink="">
        <xdr:nvSpPr>
          <xdr:cNvPr id="20" name="Rectángulo: esquinas redondeadas 19">
            <a:extLst>
              <a:ext uri="{FF2B5EF4-FFF2-40B4-BE49-F238E27FC236}">
                <a16:creationId xmlns:a16="http://schemas.microsoft.com/office/drawing/2014/main" id="{53B520D3-13CD-2292-1488-49567B0B67E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1" name="CuadroTexto 20">
            <a:extLst>
              <a:ext uri="{FF2B5EF4-FFF2-40B4-BE49-F238E27FC236}">
                <a16:creationId xmlns:a16="http://schemas.microsoft.com/office/drawing/2014/main" id="{7C123A60-3B98-D831-365A-516F37DA4799}"/>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Y</a:t>
            </a:r>
          </a:p>
        </xdr:txBody>
      </xdr:sp>
      <xdr:pic>
        <xdr:nvPicPr>
          <xdr:cNvPr id="22" name="Gráfico 21" descr="Search Inventory con relleno sólido">
            <a:extLst>
              <a:ext uri="{FF2B5EF4-FFF2-40B4-BE49-F238E27FC236}">
                <a16:creationId xmlns:a16="http://schemas.microsoft.com/office/drawing/2014/main" id="{DF659A0F-D056-A2C0-95FF-B26931BF1C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23" name="Gráfico 22" descr="Circle with left arrow con relleno sólido">
            <a:hlinkClick xmlns:r="http://schemas.openxmlformats.org/officeDocument/2006/relationships" r:id="rId1"/>
            <a:extLst>
              <a:ext uri="{FF2B5EF4-FFF2-40B4-BE49-F238E27FC236}">
                <a16:creationId xmlns:a16="http://schemas.microsoft.com/office/drawing/2014/main" id="{8F4F77F3-E8B6-ADB5-2E22-2F73AAFB05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102507</xdr:colOff>
      <xdr:row>10</xdr:row>
      <xdr:rowOff>87994</xdr:rowOff>
    </xdr:from>
    <xdr:to>
      <xdr:col>8</xdr:col>
      <xdr:colOff>245333</xdr:colOff>
      <xdr:row>16</xdr:row>
      <xdr:rowOff>73025</xdr:rowOff>
    </xdr:to>
    <xdr:grpSp>
      <xdr:nvGrpSpPr>
        <xdr:cNvPr id="24" name="Grupo 23">
          <a:extLst>
            <a:ext uri="{FF2B5EF4-FFF2-40B4-BE49-F238E27FC236}">
              <a16:creationId xmlns:a16="http://schemas.microsoft.com/office/drawing/2014/main" id="{8CC1AB9D-A8B9-467C-9876-B760AB2D92ED}"/>
            </a:ext>
          </a:extLst>
        </xdr:cNvPr>
        <xdr:cNvGrpSpPr/>
      </xdr:nvGrpSpPr>
      <xdr:grpSpPr>
        <a:xfrm>
          <a:off x="218924" y="1887161"/>
          <a:ext cx="7667576" cy="1064531"/>
          <a:chOff x="276225" y="352425"/>
          <a:chExt cx="9029702" cy="1198618"/>
        </a:xfrm>
      </xdr:grpSpPr>
      <xdr:grpSp>
        <xdr:nvGrpSpPr>
          <xdr:cNvPr id="25" name="Grupo 24">
            <a:extLst>
              <a:ext uri="{FF2B5EF4-FFF2-40B4-BE49-F238E27FC236}">
                <a16:creationId xmlns:a16="http://schemas.microsoft.com/office/drawing/2014/main" id="{A8E60664-5B77-D0A1-27FD-A64DCD99BB68}"/>
              </a:ext>
            </a:extLst>
          </xdr:cNvPr>
          <xdr:cNvGrpSpPr/>
        </xdr:nvGrpSpPr>
        <xdr:grpSpPr>
          <a:xfrm>
            <a:off x="276225" y="352425"/>
            <a:ext cx="9029702" cy="352426"/>
            <a:chOff x="142874" y="2266950"/>
            <a:chExt cx="9029702" cy="352426"/>
          </a:xfrm>
        </xdr:grpSpPr>
        <xdr:sp macro="" textlink="">
          <xdr:nvSpPr>
            <xdr:cNvPr id="33" name="Rectángulo: esquinas redondeadas 32">
              <a:extLst>
                <a:ext uri="{FF2B5EF4-FFF2-40B4-BE49-F238E27FC236}">
                  <a16:creationId xmlns:a16="http://schemas.microsoft.com/office/drawing/2014/main" id="{671B84C3-8EAF-6812-E789-5D2F7E31EAED}"/>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4" name="Rectángulo: esquinas redondeadas 33">
              <a:extLst>
                <a:ext uri="{FF2B5EF4-FFF2-40B4-BE49-F238E27FC236}">
                  <a16:creationId xmlns:a16="http://schemas.microsoft.com/office/drawing/2014/main" id="{0D6EDF15-28F9-A644-1A25-2E36B13A7260}"/>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SI</a:t>
              </a:r>
            </a:p>
          </xdr:txBody>
        </xdr:sp>
        <xdr:sp macro="" textlink="">
          <xdr:nvSpPr>
            <xdr:cNvPr id="35" name="Rectángulo: esquinas redondeadas 34">
              <a:extLst>
                <a:ext uri="{FF2B5EF4-FFF2-40B4-BE49-F238E27FC236}">
                  <a16:creationId xmlns:a16="http://schemas.microsoft.com/office/drawing/2014/main" id="{D696C352-1CFB-9292-03EE-01A2E8615E07}"/>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6" name="Rectángulo: esquinas redondeadas 35">
              <a:extLst>
                <a:ext uri="{FF2B5EF4-FFF2-40B4-BE49-F238E27FC236}">
                  <a16:creationId xmlns:a16="http://schemas.microsoft.com/office/drawing/2014/main" id="{070791EF-D03B-F755-9DDE-1D136C65086F}"/>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Prueba</a:t>
              </a:r>
              <a:r>
                <a:rPr lang="en-US" sz="1000" baseline="0">
                  <a:solidFill>
                    <a:schemeClr val="tx1"/>
                  </a:solidFill>
                  <a:latin typeface="Montserrat" panose="00000500000000000000" pitchFamily="2" charset="0"/>
                  <a:ea typeface="+mn-ea"/>
                  <a:cs typeface="+mn-cs"/>
                </a:rPr>
                <a:t> Lógica</a:t>
              </a:r>
              <a:endParaRPr lang="en-US" sz="1000">
                <a:solidFill>
                  <a:schemeClr val="tx1"/>
                </a:solidFill>
                <a:latin typeface="Montserrat" panose="00000500000000000000" pitchFamily="2" charset="0"/>
                <a:ea typeface="+mn-ea"/>
                <a:cs typeface="+mn-cs"/>
              </a:endParaRPr>
            </a:p>
          </xdr:txBody>
        </xdr:sp>
        <xdr:sp macro="" textlink="">
          <xdr:nvSpPr>
            <xdr:cNvPr id="37" name="Rectángulo: esquinas redondeadas 36">
              <a:extLst>
                <a:ext uri="{FF2B5EF4-FFF2-40B4-BE49-F238E27FC236}">
                  <a16:creationId xmlns:a16="http://schemas.microsoft.com/office/drawing/2014/main" id="{95992655-501D-00C1-0F43-6E92D0CC4EFF}"/>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Si Verdadero</a:t>
              </a:r>
            </a:p>
          </xdr:txBody>
        </xdr:sp>
        <xdr:sp macro="" textlink="">
          <xdr:nvSpPr>
            <xdr:cNvPr id="38" name="Rectángulo: esquinas redondeadas 37">
              <a:extLst>
                <a:ext uri="{FF2B5EF4-FFF2-40B4-BE49-F238E27FC236}">
                  <a16:creationId xmlns:a16="http://schemas.microsoft.com/office/drawing/2014/main" id="{7A44CB82-5E42-FA00-91FB-50283E0D0E36}"/>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a:t>
              </a:r>
              <a:r>
                <a:rPr lang="en-US" sz="1000" baseline="0">
                  <a:solidFill>
                    <a:schemeClr val="tx1"/>
                  </a:solidFill>
                  <a:latin typeface="Montserrat" panose="00000500000000000000" pitchFamily="2" charset="0"/>
                  <a:ea typeface="+mn-ea"/>
                  <a:cs typeface="+mn-cs"/>
                </a:rPr>
                <a:t> Si Falso]</a:t>
              </a:r>
              <a:endParaRPr lang="en-US" sz="1000">
                <a:solidFill>
                  <a:schemeClr val="tx1"/>
                </a:solidFill>
                <a:latin typeface="Montserrat" panose="00000500000000000000" pitchFamily="2" charset="0"/>
                <a:ea typeface="+mn-ea"/>
                <a:cs typeface="+mn-cs"/>
              </a:endParaRPr>
            </a:p>
          </xdr:txBody>
        </xdr:sp>
        <xdr:sp macro="" textlink="">
          <xdr:nvSpPr>
            <xdr:cNvPr id="39" name="Rectángulo: esquinas redondeadas 38">
              <a:extLst>
                <a:ext uri="{FF2B5EF4-FFF2-40B4-BE49-F238E27FC236}">
                  <a16:creationId xmlns:a16="http://schemas.microsoft.com/office/drawing/2014/main" id="{19F977C6-FB6C-7FBE-3919-6F673CB50A8B}"/>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0" name="Rectángulo: esquinas redondeadas 39">
              <a:extLst>
                <a:ext uri="{FF2B5EF4-FFF2-40B4-BE49-F238E27FC236}">
                  <a16:creationId xmlns:a16="http://schemas.microsoft.com/office/drawing/2014/main" id="{D276DA66-3BFF-D243-5B6F-E6722D2809C4}"/>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1" name="Rectángulo: esquinas redondeadas 40">
              <a:extLst>
                <a:ext uri="{FF2B5EF4-FFF2-40B4-BE49-F238E27FC236}">
                  <a16:creationId xmlns:a16="http://schemas.microsoft.com/office/drawing/2014/main" id="{23D6626B-02F8-3F4C-5EEB-B75C32B01FFF}"/>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26" name="Grupo 25">
            <a:extLst>
              <a:ext uri="{FF2B5EF4-FFF2-40B4-BE49-F238E27FC236}">
                <a16:creationId xmlns:a16="http://schemas.microsoft.com/office/drawing/2014/main" id="{9DC088F8-5FBA-408A-3F0B-2EA2BBC7B8A8}"/>
              </a:ext>
            </a:extLst>
          </xdr:cNvPr>
          <xdr:cNvGrpSpPr/>
        </xdr:nvGrpSpPr>
        <xdr:grpSpPr>
          <a:xfrm>
            <a:off x="2324100" y="819150"/>
            <a:ext cx="6580575" cy="731893"/>
            <a:chOff x="2190749" y="2847975"/>
            <a:chExt cx="6580575" cy="731893"/>
          </a:xfrm>
        </xdr:grpSpPr>
        <xdr:sp macro="" textlink="">
          <xdr:nvSpPr>
            <xdr:cNvPr id="27" name="Rectángulo: esquinas redondeadas 26">
              <a:extLst>
                <a:ext uri="{FF2B5EF4-FFF2-40B4-BE49-F238E27FC236}">
                  <a16:creationId xmlns:a16="http://schemas.microsoft.com/office/drawing/2014/main" id="{73D5BEDC-AC68-FA0B-1FA0-5F215923B027}"/>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la condición que quieres probar. Esta condición puede ser cualquier fórmula que devuelva VERDADERO o FALSO.</a:t>
              </a:r>
            </a:p>
          </xdr:txBody>
        </xdr:sp>
        <xdr:pic>
          <xdr:nvPicPr>
            <xdr:cNvPr id="28" name="Gráfico 27" descr="Information con relleno sólido">
              <a:extLst>
                <a:ext uri="{FF2B5EF4-FFF2-40B4-BE49-F238E27FC236}">
                  <a16:creationId xmlns:a16="http://schemas.microsoft.com/office/drawing/2014/main" id="{AB0C7663-B4E6-EF4C-A18A-19A283C08F6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8850" y="2876550"/>
              <a:ext cx="161925" cy="161925"/>
            </a:xfrm>
            <a:prstGeom prst="rect">
              <a:avLst/>
            </a:prstGeom>
          </xdr:spPr>
        </xdr:pic>
        <xdr:sp macro="" textlink="">
          <xdr:nvSpPr>
            <xdr:cNvPr id="29" name="Rectángulo: esquinas redondeadas 28">
              <a:extLst>
                <a:ext uri="{FF2B5EF4-FFF2-40B4-BE49-F238E27FC236}">
                  <a16:creationId xmlns:a16="http://schemas.microsoft.com/office/drawing/2014/main" id="{BB48F253-B5EF-E09E-68C7-640349A041E5}"/>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se devolverá si prueba_lógica resulta VERDADERA.</a:t>
              </a:r>
            </a:p>
          </xdr:txBody>
        </xdr:sp>
        <xdr:pic>
          <xdr:nvPicPr>
            <xdr:cNvPr id="30" name="Gráfico 29" descr="Information con relleno sólido">
              <a:extLst>
                <a:ext uri="{FF2B5EF4-FFF2-40B4-BE49-F238E27FC236}">
                  <a16:creationId xmlns:a16="http://schemas.microsoft.com/office/drawing/2014/main" id="{D5F0A851-0761-2BFA-5B19-40D94ED6EE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1525" y="2867025"/>
              <a:ext cx="161925" cy="161925"/>
            </a:xfrm>
            <a:prstGeom prst="rect">
              <a:avLst/>
            </a:prstGeom>
          </xdr:spPr>
        </xdr:pic>
        <xdr:sp macro="" textlink="">
          <xdr:nvSpPr>
            <xdr:cNvPr id="31" name="Rectángulo: esquinas redondeadas 30">
              <a:extLst>
                <a:ext uri="{FF2B5EF4-FFF2-40B4-BE49-F238E27FC236}">
                  <a16:creationId xmlns:a16="http://schemas.microsoft.com/office/drawing/2014/main" id="{6FAA7C19-E66D-A95C-DD6D-C5F8075B7151}"/>
                </a:ext>
              </a:extLst>
            </xdr:cNvPr>
            <xdr:cNvSpPr/>
          </xdr:nvSpPr>
          <xdr:spPr>
            <a:xfrm>
              <a:off x="6791324" y="2847975"/>
              <a:ext cx="1980000" cy="731893"/>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se devolverá si prueba_lógica resulta FALSA. Si se omite este argumento y la condición es FALSA, la función devolverá el valor lógico FALSO.</a:t>
              </a:r>
            </a:p>
          </xdr:txBody>
        </xdr:sp>
        <xdr:pic>
          <xdr:nvPicPr>
            <xdr:cNvPr id="32" name="Gráfico 31" descr="Information con relleno sólido">
              <a:extLst>
                <a:ext uri="{FF2B5EF4-FFF2-40B4-BE49-F238E27FC236}">
                  <a16:creationId xmlns:a16="http://schemas.microsoft.com/office/drawing/2014/main" id="{6C45C386-A70A-1514-953B-72F09F76CFF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29425" y="2857500"/>
              <a:ext cx="161925" cy="161925"/>
            </a:xfrm>
            <a:prstGeom prst="rect">
              <a:avLst/>
            </a:prstGeom>
          </xdr:spPr>
        </xdr:pic>
      </xdr:grpSp>
    </xdr:grpSp>
    <xdr:clientData/>
  </xdr:twoCellAnchor>
  <xdr:twoCellAnchor editAs="oneCell">
    <xdr:from>
      <xdr:col>1</xdr:col>
      <xdr:colOff>34924</xdr:colOff>
      <xdr:row>35</xdr:row>
      <xdr:rowOff>7409</xdr:rowOff>
    </xdr:from>
    <xdr:to>
      <xdr:col>12</xdr:col>
      <xdr:colOff>1766888</xdr:colOff>
      <xdr:row>36</xdr:row>
      <xdr:rowOff>52918</xdr:rowOff>
    </xdr:to>
    <xdr:sp macro="" textlink="">
      <xdr:nvSpPr>
        <xdr:cNvPr id="67" name="Rectángulo: esquinas redondeadas 66">
          <a:extLst>
            <a:ext uri="{FF2B5EF4-FFF2-40B4-BE49-F238E27FC236}">
              <a16:creationId xmlns:a16="http://schemas.microsoft.com/office/drawing/2014/main" id="{61289812-836F-487B-ADDF-5D6E47BD656C}"/>
            </a:ext>
          </a:extLst>
        </xdr:cNvPr>
        <xdr:cNvSpPr/>
      </xdr:nvSpPr>
      <xdr:spPr>
        <a:xfrm>
          <a:off x="161924" y="7458076"/>
          <a:ext cx="13084352" cy="27516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2</a:t>
          </a:r>
        </a:p>
      </xdr:txBody>
    </xdr:sp>
    <xdr:clientData/>
  </xdr:twoCellAnchor>
  <xdr:twoCellAnchor editAs="oneCell">
    <xdr:from>
      <xdr:col>1</xdr:col>
      <xdr:colOff>42332</xdr:colOff>
      <xdr:row>58</xdr:row>
      <xdr:rowOff>17993</xdr:rowOff>
    </xdr:from>
    <xdr:to>
      <xdr:col>12</xdr:col>
      <xdr:colOff>1767946</xdr:colOff>
      <xdr:row>59</xdr:row>
      <xdr:rowOff>57152</xdr:rowOff>
    </xdr:to>
    <xdr:sp macro="" textlink="">
      <xdr:nvSpPr>
        <xdr:cNvPr id="68" name="Rectángulo: esquinas redondeadas 67">
          <a:extLst>
            <a:ext uri="{FF2B5EF4-FFF2-40B4-BE49-F238E27FC236}">
              <a16:creationId xmlns:a16="http://schemas.microsoft.com/office/drawing/2014/main" id="{9DFC1E6B-6614-4E5A-B154-830561CB7D73}"/>
            </a:ext>
          </a:extLst>
        </xdr:cNvPr>
        <xdr:cNvSpPr/>
      </xdr:nvSpPr>
      <xdr:spPr>
        <a:xfrm>
          <a:off x="169332" y="13451771"/>
          <a:ext cx="13580358" cy="26493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3</a:t>
          </a:r>
        </a:p>
      </xdr:txBody>
    </xdr:sp>
    <xdr:clientData/>
  </xdr:twoCellAnchor>
  <xdr:twoCellAnchor editAs="oneCell">
    <xdr:from>
      <xdr:col>1</xdr:col>
      <xdr:colOff>42333</xdr:colOff>
      <xdr:row>115</xdr:row>
      <xdr:rowOff>21166</xdr:rowOff>
    </xdr:from>
    <xdr:to>
      <xdr:col>5</xdr:col>
      <xdr:colOff>1054101</xdr:colOff>
      <xdr:row>120</xdr:row>
      <xdr:rowOff>72175</xdr:rowOff>
    </xdr:to>
    <xdr:grpSp>
      <xdr:nvGrpSpPr>
        <xdr:cNvPr id="69" name="Grupo 68">
          <a:extLst>
            <a:ext uri="{FF2B5EF4-FFF2-40B4-BE49-F238E27FC236}">
              <a16:creationId xmlns:a16="http://schemas.microsoft.com/office/drawing/2014/main" id="{77CCFF3A-F6A0-4580-8BF8-1E43C2184952}"/>
            </a:ext>
          </a:extLst>
        </xdr:cNvPr>
        <xdr:cNvGrpSpPr/>
      </xdr:nvGrpSpPr>
      <xdr:grpSpPr>
        <a:xfrm>
          <a:off x="158750" y="21579416"/>
          <a:ext cx="5763684" cy="950592"/>
          <a:chOff x="229961" y="3365726"/>
          <a:chExt cx="6800852" cy="1099817"/>
        </a:xfrm>
      </xdr:grpSpPr>
      <xdr:grpSp>
        <xdr:nvGrpSpPr>
          <xdr:cNvPr id="70" name="Grupo 69">
            <a:extLst>
              <a:ext uri="{FF2B5EF4-FFF2-40B4-BE49-F238E27FC236}">
                <a16:creationId xmlns:a16="http://schemas.microsoft.com/office/drawing/2014/main" id="{D9E48124-8CA1-A574-7547-5848AE80AE87}"/>
              </a:ext>
            </a:extLst>
          </xdr:cNvPr>
          <xdr:cNvGrpSpPr/>
        </xdr:nvGrpSpPr>
        <xdr:grpSpPr>
          <a:xfrm>
            <a:off x="229961" y="3365726"/>
            <a:ext cx="6800852" cy="355148"/>
            <a:chOff x="304800" y="1466850"/>
            <a:chExt cx="6781802" cy="352426"/>
          </a:xfrm>
        </xdr:grpSpPr>
        <xdr:sp macro="" textlink="">
          <xdr:nvSpPr>
            <xdr:cNvPr id="75" name="Rectángulo: esquinas redondeadas 74">
              <a:extLst>
                <a:ext uri="{FF2B5EF4-FFF2-40B4-BE49-F238E27FC236}">
                  <a16:creationId xmlns:a16="http://schemas.microsoft.com/office/drawing/2014/main" id="{1CCA0D2A-78FF-CD95-6BD9-C95704C33D02}"/>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6" name="Rectángulo: esquinas redondeadas 75">
              <a:extLst>
                <a:ext uri="{FF2B5EF4-FFF2-40B4-BE49-F238E27FC236}">
                  <a16:creationId xmlns:a16="http://schemas.microsoft.com/office/drawing/2014/main" id="{F4BA5859-28E5-7802-CF70-DCCC4E769615}"/>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Y</a:t>
              </a:r>
            </a:p>
          </xdr:txBody>
        </xdr:sp>
        <xdr:sp macro="" textlink="">
          <xdr:nvSpPr>
            <xdr:cNvPr id="77" name="Rectángulo: esquinas redondeadas 76">
              <a:extLst>
                <a:ext uri="{FF2B5EF4-FFF2-40B4-BE49-F238E27FC236}">
                  <a16:creationId xmlns:a16="http://schemas.microsoft.com/office/drawing/2014/main" id="{AEAE4438-4725-DD14-3FD8-F05FCB76DEC2}"/>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8" name="Rectángulo: esquinas redondeadas 77">
              <a:extLst>
                <a:ext uri="{FF2B5EF4-FFF2-40B4-BE49-F238E27FC236}">
                  <a16:creationId xmlns:a16="http://schemas.microsoft.com/office/drawing/2014/main" id="{A721E645-1A48-7AD3-CBF9-23EFB5896148}"/>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Lógico 1</a:t>
              </a:r>
            </a:p>
          </xdr:txBody>
        </xdr:sp>
        <xdr:sp macro="" textlink="">
          <xdr:nvSpPr>
            <xdr:cNvPr id="79" name="Rectángulo: esquinas redondeadas 78">
              <a:extLst>
                <a:ext uri="{FF2B5EF4-FFF2-40B4-BE49-F238E27FC236}">
                  <a16:creationId xmlns:a16="http://schemas.microsoft.com/office/drawing/2014/main" id="{94B212BE-B254-067E-3D67-3A6C2AA0E04C}"/>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Lógico 2]...</a:t>
              </a:r>
            </a:p>
          </xdr:txBody>
        </xdr:sp>
        <xdr:sp macro="" textlink="">
          <xdr:nvSpPr>
            <xdr:cNvPr id="80" name="Rectángulo: esquinas redondeadas 79">
              <a:extLst>
                <a:ext uri="{FF2B5EF4-FFF2-40B4-BE49-F238E27FC236}">
                  <a16:creationId xmlns:a16="http://schemas.microsoft.com/office/drawing/2014/main" id="{49F7A4C9-2D4F-EAF0-60C9-FEC5EE945EC5}"/>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1" name="Rectángulo: esquinas redondeadas 80">
              <a:extLst>
                <a:ext uri="{FF2B5EF4-FFF2-40B4-BE49-F238E27FC236}">
                  <a16:creationId xmlns:a16="http://schemas.microsoft.com/office/drawing/2014/main" id="{F39CE215-864E-312E-36A6-E14ACCC45F14}"/>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71" name="Rectángulo: esquinas redondeadas 70">
            <a:extLst>
              <a:ext uri="{FF2B5EF4-FFF2-40B4-BE49-F238E27FC236}">
                <a16:creationId xmlns:a16="http://schemas.microsoft.com/office/drawing/2014/main" id="{577C6DB7-E523-09A0-3954-0A8573185BBA}"/>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la primera condición que quieres probar, la cual puede ser cualquier expresión que devuelva VERDADERO o FALSO.</a:t>
            </a:r>
          </a:p>
        </xdr:txBody>
      </xdr:sp>
      <xdr:pic>
        <xdr:nvPicPr>
          <xdr:cNvPr id="72" name="Gráfico 71" descr="Information con relleno sólido">
            <a:extLst>
              <a:ext uri="{FF2B5EF4-FFF2-40B4-BE49-F238E27FC236}">
                <a16:creationId xmlns:a16="http://schemas.microsoft.com/office/drawing/2014/main" id="{0B50E05D-E508-E804-E63C-0852B68FCF4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6822" y="3882118"/>
            <a:ext cx="161925" cy="161925"/>
          </a:xfrm>
          <a:prstGeom prst="rect">
            <a:avLst/>
          </a:prstGeom>
        </xdr:spPr>
      </xdr:pic>
      <xdr:sp macro="" textlink="">
        <xdr:nvSpPr>
          <xdr:cNvPr id="73" name="Rectángulo: esquinas redondeadas 72">
            <a:extLst>
              <a:ext uri="{FF2B5EF4-FFF2-40B4-BE49-F238E27FC236}">
                <a16:creationId xmlns:a16="http://schemas.microsoft.com/office/drawing/2014/main" id="{B3A42CEA-4113-FDF6-F413-B76C8C580DDA}"/>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Puedes especificar hasta 255 condiciones adicionales que quieras probar. Todas deben ser verdaderas para que la función Y devuelva VERDADERO.</a:t>
            </a:r>
          </a:p>
        </xdr:txBody>
      </xdr:sp>
      <xdr:pic>
        <xdr:nvPicPr>
          <xdr:cNvPr id="74" name="Gráfico 73" descr="Information con relleno sólido">
            <a:extLst>
              <a:ext uri="{FF2B5EF4-FFF2-40B4-BE49-F238E27FC236}">
                <a16:creationId xmlns:a16="http://schemas.microsoft.com/office/drawing/2014/main" id="{B3C0D782-E1E2-4AB7-5E53-D257A8DB59A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79497" y="3872593"/>
            <a:ext cx="161925" cy="161925"/>
          </a:xfrm>
          <a:prstGeom prst="rect">
            <a:avLst/>
          </a:prstGeom>
        </xdr:spPr>
      </xdr:pic>
    </xdr:grpSp>
    <xdr:clientData/>
  </xdr:twoCellAnchor>
  <xdr:twoCellAnchor editAs="oneCell">
    <xdr:from>
      <xdr:col>1</xdr:col>
      <xdr:colOff>20108</xdr:colOff>
      <xdr:row>138</xdr:row>
      <xdr:rowOff>197908</xdr:rowOff>
    </xdr:from>
    <xdr:to>
      <xdr:col>12</xdr:col>
      <xdr:colOff>1786997</xdr:colOff>
      <xdr:row>140</xdr:row>
      <xdr:rowOff>1762</xdr:rowOff>
    </xdr:to>
    <xdr:sp macro="" textlink="">
      <xdr:nvSpPr>
        <xdr:cNvPr id="87" name="Rectángulo: esquinas redondeadas 86">
          <a:extLst>
            <a:ext uri="{FF2B5EF4-FFF2-40B4-BE49-F238E27FC236}">
              <a16:creationId xmlns:a16="http://schemas.microsoft.com/office/drawing/2014/main" id="{EDDBA907-350E-4ACF-8E1C-8A66FE93919A}"/>
            </a:ext>
          </a:extLst>
        </xdr:cNvPr>
        <xdr:cNvSpPr/>
      </xdr:nvSpPr>
      <xdr:spPr>
        <a:xfrm>
          <a:off x="147108" y="34614908"/>
          <a:ext cx="13106577" cy="25929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oneCell">
    <xdr:from>
      <xdr:col>1</xdr:col>
      <xdr:colOff>51857</xdr:colOff>
      <xdr:row>140</xdr:row>
      <xdr:rowOff>77258</xdr:rowOff>
    </xdr:from>
    <xdr:to>
      <xdr:col>12</xdr:col>
      <xdr:colOff>1807987</xdr:colOff>
      <xdr:row>143</xdr:row>
      <xdr:rowOff>33867</xdr:rowOff>
    </xdr:to>
    <xdr:sp macro="" textlink="">
      <xdr:nvSpPr>
        <xdr:cNvPr id="88" name="Rectángulo: esquinas redondeadas 87">
          <a:extLst>
            <a:ext uri="{FF2B5EF4-FFF2-40B4-BE49-F238E27FC236}">
              <a16:creationId xmlns:a16="http://schemas.microsoft.com/office/drawing/2014/main" id="{1F018638-F963-4106-BBFF-3BFB58445DC0}"/>
            </a:ext>
          </a:extLst>
        </xdr:cNvPr>
        <xdr:cNvSpPr/>
      </xdr:nvSpPr>
      <xdr:spPr>
        <a:xfrm>
          <a:off x="178857" y="34959925"/>
          <a:ext cx="13111693" cy="61806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O (OR en inglés) </a:t>
          </a:r>
          <a:r>
            <a:rPr lang="en-US" sz="1000" b="0">
              <a:solidFill>
                <a:schemeClr val="tx1"/>
              </a:solidFill>
              <a:latin typeface="Montserrat" panose="00000500000000000000" pitchFamily="2" charset="0"/>
              <a:ea typeface="+mn-ea"/>
              <a:cs typeface="+mn-cs"/>
            </a:rPr>
            <a:t>es una función lógica en Excel que verifica si al menos una de las condiciones dentro de un conjunto dado es VERDADERA. Si alguna de las condiciones evaluadas resulta ser verdadera, la función devuelve VERDADERO; si todas las condiciones son falsas, devuelve FALSO. Esta función es útil cuando necesitas que se cumpla al menos una de varias condiciones para proceder con un cálculo o acción específica.</a:t>
          </a:r>
        </a:p>
      </xdr:txBody>
    </xdr:sp>
    <xdr:clientData/>
  </xdr:twoCellAnchor>
  <xdr:twoCellAnchor editAs="oneCell">
    <xdr:from>
      <xdr:col>1</xdr:col>
      <xdr:colOff>0</xdr:colOff>
      <xdr:row>143</xdr:row>
      <xdr:rowOff>150282</xdr:rowOff>
    </xdr:from>
    <xdr:to>
      <xdr:col>12</xdr:col>
      <xdr:colOff>1766889</xdr:colOff>
      <xdr:row>144</xdr:row>
      <xdr:rowOff>176741</xdr:rowOff>
    </xdr:to>
    <xdr:sp macro="" textlink="">
      <xdr:nvSpPr>
        <xdr:cNvPr id="89" name="Rectángulo: esquinas redondeadas 88">
          <a:extLst>
            <a:ext uri="{FF2B5EF4-FFF2-40B4-BE49-F238E27FC236}">
              <a16:creationId xmlns:a16="http://schemas.microsoft.com/office/drawing/2014/main" id="{BF02B9F2-C9B4-4055-AE64-CD8D21159A5C}"/>
            </a:ext>
          </a:extLst>
        </xdr:cNvPr>
        <xdr:cNvSpPr/>
      </xdr:nvSpPr>
      <xdr:spPr>
        <a:xfrm>
          <a:off x="127000" y="35710282"/>
          <a:ext cx="13116102" cy="241301"/>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20108</xdr:colOff>
      <xdr:row>152</xdr:row>
      <xdr:rowOff>13758</xdr:rowOff>
    </xdr:from>
    <xdr:to>
      <xdr:col>12</xdr:col>
      <xdr:colOff>1786997</xdr:colOff>
      <xdr:row>153</xdr:row>
      <xdr:rowOff>74083</xdr:rowOff>
    </xdr:to>
    <xdr:sp macro="" textlink="">
      <xdr:nvSpPr>
        <xdr:cNvPr id="90" name="Rectángulo: esquinas redondeadas 89">
          <a:extLst>
            <a:ext uri="{FF2B5EF4-FFF2-40B4-BE49-F238E27FC236}">
              <a16:creationId xmlns:a16="http://schemas.microsoft.com/office/drawing/2014/main" id="{D883DEB5-6152-4B04-958B-843A3EC150F2}"/>
            </a:ext>
          </a:extLst>
        </xdr:cNvPr>
        <xdr:cNvSpPr/>
      </xdr:nvSpPr>
      <xdr:spPr>
        <a:xfrm>
          <a:off x="147108" y="37478758"/>
          <a:ext cx="13106577" cy="26246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39158</xdr:colOff>
      <xdr:row>136</xdr:row>
      <xdr:rowOff>0</xdr:rowOff>
    </xdr:from>
    <xdr:to>
      <xdr:col>12</xdr:col>
      <xdr:colOff>1884188</xdr:colOff>
      <xdr:row>138</xdr:row>
      <xdr:rowOff>21166</xdr:rowOff>
    </xdr:to>
    <xdr:grpSp>
      <xdr:nvGrpSpPr>
        <xdr:cNvPr id="92" name="Grupo 91">
          <a:extLst>
            <a:ext uri="{FF2B5EF4-FFF2-40B4-BE49-F238E27FC236}">
              <a16:creationId xmlns:a16="http://schemas.microsoft.com/office/drawing/2014/main" id="{14F56320-CE89-4EF2-A252-54599F227186}"/>
            </a:ext>
          </a:extLst>
        </xdr:cNvPr>
        <xdr:cNvGrpSpPr/>
      </xdr:nvGrpSpPr>
      <xdr:grpSpPr>
        <a:xfrm>
          <a:off x="155575" y="25410583"/>
          <a:ext cx="12364863" cy="381000"/>
          <a:chOff x="136524" y="104775"/>
          <a:chExt cx="13664143" cy="541867"/>
        </a:xfrm>
      </xdr:grpSpPr>
      <xdr:sp macro="" textlink="">
        <xdr:nvSpPr>
          <xdr:cNvPr id="93" name="Rectángulo: esquinas redondeadas 92">
            <a:extLst>
              <a:ext uri="{FF2B5EF4-FFF2-40B4-BE49-F238E27FC236}">
                <a16:creationId xmlns:a16="http://schemas.microsoft.com/office/drawing/2014/main" id="{09C4B103-6FA3-775B-95ED-581336E097DC}"/>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4" name="CuadroTexto 93">
            <a:extLst>
              <a:ext uri="{FF2B5EF4-FFF2-40B4-BE49-F238E27FC236}">
                <a16:creationId xmlns:a16="http://schemas.microsoft.com/office/drawing/2014/main" id="{BDD1BC1E-6177-25C6-1D33-1C7845BB6DF6}"/>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O</a:t>
            </a:r>
          </a:p>
        </xdr:txBody>
      </xdr:sp>
      <xdr:pic>
        <xdr:nvPicPr>
          <xdr:cNvPr id="95" name="Gráfico 94" descr="Search Inventory con relleno sólido">
            <a:extLst>
              <a:ext uri="{FF2B5EF4-FFF2-40B4-BE49-F238E27FC236}">
                <a16:creationId xmlns:a16="http://schemas.microsoft.com/office/drawing/2014/main" id="{15AE9575-7BF9-D37F-7FAE-D00AB5E0626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96" name="Gráfico 95" descr="Circle with left arrow con relleno sólido">
            <a:hlinkClick xmlns:r="http://schemas.openxmlformats.org/officeDocument/2006/relationships" r:id="rId1"/>
            <a:extLst>
              <a:ext uri="{FF2B5EF4-FFF2-40B4-BE49-F238E27FC236}">
                <a16:creationId xmlns:a16="http://schemas.microsoft.com/office/drawing/2014/main" id="{C6060D75-C540-4DA9-4872-A1F811BA54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40216</xdr:colOff>
      <xdr:row>145</xdr:row>
      <xdr:rowOff>102657</xdr:rowOff>
    </xdr:from>
    <xdr:to>
      <xdr:col>5</xdr:col>
      <xdr:colOff>1055159</xdr:colOff>
      <xdr:row>150</xdr:row>
      <xdr:rowOff>178855</xdr:rowOff>
    </xdr:to>
    <xdr:grpSp>
      <xdr:nvGrpSpPr>
        <xdr:cNvPr id="97" name="Grupo 96">
          <a:extLst>
            <a:ext uri="{FF2B5EF4-FFF2-40B4-BE49-F238E27FC236}">
              <a16:creationId xmlns:a16="http://schemas.microsoft.com/office/drawing/2014/main" id="{F5366992-FA3C-44C0-BC57-EE47256C9A1E}"/>
            </a:ext>
          </a:extLst>
        </xdr:cNvPr>
        <xdr:cNvGrpSpPr/>
      </xdr:nvGrpSpPr>
      <xdr:grpSpPr>
        <a:xfrm>
          <a:off x="156633" y="27132490"/>
          <a:ext cx="5766859" cy="975782"/>
          <a:chOff x="229961" y="3365726"/>
          <a:chExt cx="6800852" cy="1150118"/>
        </a:xfrm>
      </xdr:grpSpPr>
      <xdr:grpSp>
        <xdr:nvGrpSpPr>
          <xdr:cNvPr id="98" name="Grupo 97">
            <a:extLst>
              <a:ext uri="{FF2B5EF4-FFF2-40B4-BE49-F238E27FC236}">
                <a16:creationId xmlns:a16="http://schemas.microsoft.com/office/drawing/2014/main" id="{3701C08C-57BD-CFDC-C8B0-4A3A8CE906C7}"/>
              </a:ext>
            </a:extLst>
          </xdr:cNvPr>
          <xdr:cNvGrpSpPr/>
        </xdr:nvGrpSpPr>
        <xdr:grpSpPr>
          <a:xfrm>
            <a:off x="229961" y="3365726"/>
            <a:ext cx="6800852" cy="355148"/>
            <a:chOff x="304800" y="1466850"/>
            <a:chExt cx="6781802" cy="352426"/>
          </a:xfrm>
        </xdr:grpSpPr>
        <xdr:sp macro="" textlink="">
          <xdr:nvSpPr>
            <xdr:cNvPr id="103" name="Rectángulo: esquinas redondeadas 102">
              <a:extLst>
                <a:ext uri="{FF2B5EF4-FFF2-40B4-BE49-F238E27FC236}">
                  <a16:creationId xmlns:a16="http://schemas.microsoft.com/office/drawing/2014/main" id="{1A28134B-E45E-5801-14BE-0E2D216969A7}"/>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4" name="Rectángulo: esquinas redondeadas 103">
              <a:extLst>
                <a:ext uri="{FF2B5EF4-FFF2-40B4-BE49-F238E27FC236}">
                  <a16:creationId xmlns:a16="http://schemas.microsoft.com/office/drawing/2014/main" id="{B7692544-5C02-DEF5-1C07-203C720E0B9E}"/>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O</a:t>
              </a:r>
            </a:p>
          </xdr:txBody>
        </xdr:sp>
        <xdr:sp macro="" textlink="">
          <xdr:nvSpPr>
            <xdr:cNvPr id="105" name="Rectángulo: esquinas redondeadas 104">
              <a:extLst>
                <a:ext uri="{FF2B5EF4-FFF2-40B4-BE49-F238E27FC236}">
                  <a16:creationId xmlns:a16="http://schemas.microsoft.com/office/drawing/2014/main" id="{B7EF8412-0F68-8E49-302C-CE614ED1E80C}"/>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6" name="Rectángulo: esquinas redondeadas 105">
              <a:extLst>
                <a:ext uri="{FF2B5EF4-FFF2-40B4-BE49-F238E27FC236}">
                  <a16:creationId xmlns:a16="http://schemas.microsoft.com/office/drawing/2014/main" id="{0C1F4CBF-0F2D-2A1D-1A4C-E0A429B5626A}"/>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Lógico 1</a:t>
              </a:r>
            </a:p>
          </xdr:txBody>
        </xdr:sp>
        <xdr:sp macro="" textlink="">
          <xdr:nvSpPr>
            <xdr:cNvPr id="107" name="Rectángulo: esquinas redondeadas 106">
              <a:extLst>
                <a:ext uri="{FF2B5EF4-FFF2-40B4-BE49-F238E27FC236}">
                  <a16:creationId xmlns:a16="http://schemas.microsoft.com/office/drawing/2014/main" id="{C0BB9D01-67E0-833A-D148-7A46368E233B}"/>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Lógico 2]...</a:t>
              </a:r>
            </a:p>
          </xdr:txBody>
        </xdr:sp>
        <xdr:sp macro="" textlink="">
          <xdr:nvSpPr>
            <xdr:cNvPr id="108" name="Rectángulo: esquinas redondeadas 107">
              <a:extLst>
                <a:ext uri="{FF2B5EF4-FFF2-40B4-BE49-F238E27FC236}">
                  <a16:creationId xmlns:a16="http://schemas.microsoft.com/office/drawing/2014/main" id="{7B4B9542-E75B-6D6A-18BC-754674AC3789}"/>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9" name="Rectángulo: esquinas redondeadas 108">
              <a:extLst>
                <a:ext uri="{FF2B5EF4-FFF2-40B4-BE49-F238E27FC236}">
                  <a16:creationId xmlns:a16="http://schemas.microsoft.com/office/drawing/2014/main" id="{A97FDB80-0DF4-5ED2-0D28-D9223B69358F}"/>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99" name="Rectángulo: esquinas redondeadas 98">
            <a:extLst>
              <a:ext uri="{FF2B5EF4-FFF2-40B4-BE49-F238E27FC236}">
                <a16:creationId xmlns:a16="http://schemas.microsoft.com/office/drawing/2014/main" id="{26980A99-4115-CD2A-CC82-3B86748F151A}"/>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la primera condición que quieres probar, la cual puede ser cualquier expresión que devuelva VERDADERO o FALSO.</a:t>
            </a:r>
          </a:p>
        </xdr:txBody>
      </xdr:sp>
      <xdr:pic>
        <xdr:nvPicPr>
          <xdr:cNvPr id="100" name="Gráfico 99" descr="Information con relleno sólido">
            <a:extLst>
              <a:ext uri="{FF2B5EF4-FFF2-40B4-BE49-F238E27FC236}">
                <a16:creationId xmlns:a16="http://schemas.microsoft.com/office/drawing/2014/main" id="{4C0FE6F3-7315-00D6-BAF5-97E466A499B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6822" y="3882118"/>
            <a:ext cx="161925" cy="161925"/>
          </a:xfrm>
          <a:prstGeom prst="rect">
            <a:avLst/>
          </a:prstGeom>
        </xdr:spPr>
      </xdr:pic>
      <xdr:sp macro="" textlink="">
        <xdr:nvSpPr>
          <xdr:cNvPr id="101" name="Rectángulo: esquinas redondeadas 100">
            <a:extLst>
              <a:ext uri="{FF2B5EF4-FFF2-40B4-BE49-F238E27FC236}">
                <a16:creationId xmlns:a16="http://schemas.microsoft.com/office/drawing/2014/main" id="{42E46E76-7EA2-7B04-AC95-8A9FDA278674}"/>
              </a:ext>
            </a:extLst>
          </xdr:cNvPr>
          <xdr:cNvSpPr/>
        </xdr:nvSpPr>
        <xdr:spPr>
          <a:xfrm>
            <a:off x="4641396" y="3853543"/>
            <a:ext cx="1980000" cy="662301"/>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Puedes especificar hasta 255 condiciones adicionales. La función O devolverá VERDADERO si al menos una de estas pruebas lógicas devuelve VERDADERO.</a:t>
            </a:r>
          </a:p>
        </xdr:txBody>
      </xdr:sp>
      <xdr:pic>
        <xdr:nvPicPr>
          <xdr:cNvPr id="102" name="Gráfico 101" descr="Information con relleno sólido">
            <a:extLst>
              <a:ext uri="{FF2B5EF4-FFF2-40B4-BE49-F238E27FC236}">
                <a16:creationId xmlns:a16="http://schemas.microsoft.com/office/drawing/2014/main" id="{6939AE4D-E794-F1FA-938F-E45EF7F7F2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79497" y="3872593"/>
            <a:ext cx="161925" cy="161925"/>
          </a:xfrm>
          <a:prstGeom prst="rect">
            <a:avLst/>
          </a:prstGeom>
        </xdr:spPr>
      </xdr:pic>
    </xdr:grpSp>
    <xdr:clientData/>
  </xdr:twoCellAnchor>
  <xdr:twoCellAnchor editAs="oneCell">
    <xdr:from>
      <xdr:col>1</xdr:col>
      <xdr:colOff>0</xdr:colOff>
      <xdr:row>165</xdr:row>
      <xdr:rowOff>0</xdr:rowOff>
    </xdr:from>
    <xdr:to>
      <xdr:col>12</xdr:col>
      <xdr:colOff>1845030</xdr:colOff>
      <xdr:row>167</xdr:row>
      <xdr:rowOff>73024</xdr:rowOff>
    </xdr:to>
    <xdr:grpSp>
      <xdr:nvGrpSpPr>
        <xdr:cNvPr id="111" name="Grupo 110">
          <a:extLst>
            <a:ext uri="{FF2B5EF4-FFF2-40B4-BE49-F238E27FC236}">
              <a16:creationId xmlns:a16="http://schemas.microsoft.com/office/drawing/2014/main" id="{D11511FD-E384-444E-AA6B-733C2BCFF5B8}"/>
            </a:ext>
          </a:extLst>
        </xdr:cNvPr>
        <xdr:cNvGrpSpPr/>
      </xdr:nvGrpSpPr>
      <xdr:grpSpPr>
        <a:xfrm>
          <a:off x="116417" y="30702250"/>
          <a:ext cx="12364863" cy="432857"/>
          <a:chOff x="136524" y="104775"/>
          <a:chExt cx="13664143" cy="541867"/>
        </a:xfrm>
      </xdr:grpSpPr>
      <xdr:sp macro="" textlink="">
        <xdr:nvSpPr>
          <xdr:cNvPr id="112" name="Rectángulo: esquinas redondeadas 111">
            <a:extLst>
              <a:ext uri="{FF2B5EF4-FFF2-40B4-BE49-F238E27FC236}">
                <a16:creationId xmlns:a16="http://schemas.microsoft.com/office/drawing/2014/main" id="{A8EADA0C-68EE-F59E-77EA-F3E27EAF9854}"/>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13" name="CuadroTexto 112">
            <a:extLst>
              <a:ext uri="{FF2B5EF4-FFF2-40B4-BE49-F238E27FC236}">
                <a16:creationId xmlns:a16="http://schemas.microsoft.com/office/drawing/2014/main" id="{C1F4DF47-91C6-AA9C-DACD-3ED1EF285D87}"/>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SI/Y/O</a:t>
            </a:r>
          </a:p>
        </xdr:txBody>
      </xdr:sp>
      <xdr:pic>
        <xdr:nvPicPr>
          <xdr:cNvPr id="114" name="Gráfico 113" descr="Search Inventory con relleno sólido">
            <a:extLst>
              <a:ext uri="{FF2B5EF4-FFF2-40B4-BE49-F238E27FC236}">
                <a16:creationId xmlns:a16="http://schemas.microsoft.com/office/drawing/2014/main" id="{AF860BF9-AD0D-E0F7-3821-2E868F61325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7500" y="133350"/>
            <a:ext cx="447675" cy="456142"/>
          </a:xfrm>
          <a:prstGeom prst="rect">
            <a:avLst/>
          </a:prstGeom>
        </xdr:spPr>
      </xdr:pic>
      <xdr:pic>
        <xdr:nvPicPr>
          <xdr:cNvPr id="115" name="Gráfico 114" descr="Circle with left arrow con relleno sólido">
            <a:hlinkClick xmlns:r="http://schemas.openxmlformats.org/officeDocument/2006/relationships" r:id="rId1"/>
            <a:extLst>
              <a:ext uri="{FF2B5EF4-FFF2-40B4-BE49-F238E27FC236}">
                <a16:creationId xmlns:a16="http://schemas.microsoft.com/office/drawing/2014/main" id="{66924AC1-5232-9109-65D9-F26192B9B4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20108</xdr:colOff>
      <xdr:row>168</xdr:row>
      <xdr:rowOff>0</xdr:rowOff>
    </xdr:from>
    <xdr:to>
      <xdr:col>12</xdr:col>
      <xdr:colOff>1786997</xdr:colOff>
      <xdr:row>169</xdr:row>
      <xdr:rowOff>73025</xdr:rowOff>
    </xdr:to>
    <xdr:sp macro="" textlink="">
      <xdr:nvSpPr>
        <xdr:cNvPr id="116" name="Rectángulo: esquinas redondeadas 115">
          <a:extLst>
            <a:ext uri="{FF2B5EF4-FFF2-40B4-BE49-F238E27FC236}">
              <a16:creationId xmlns:a16="http://schemas.microsoft.com/office/drawing/2014/main" id="{09015004-6749-4714-ACFC-7DD5DA55F1D4}"/>
            </a:ext>
          </a:extLst>
        </xdr:cNvPr>
        <xdr:cNvSpPr/>
      </xdr:nvSpPr>
      <xdr:spPr>
        <a:xfrm>
          <a:off x="147108" y="45508333"/>
          <a:ext cx="13112927" cy="27199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173713</xdr:colOff>
      <xdr:row>49</xdr:row>
      <xdr:rowOff>50818</xdr:rowOff>
    </xdr:from>
    <xdr:to>
      <xdr:col>7</xdr:col>
      <xdr:colOff>477838</xdr:colOff>
      <xdr:row>57</xdr:row>
      <xdr:rowOff>1422</xdr:rowOff>
    </xdr:to>
    <xdr:grpSp>
      <xdr:nvGrpSpPr>
        <xdr:cNvPr id="178" name="Grupo 177">
          <a:extLst>
            <a:ext uri="{FF2B5EF4-FFF2-40B4-BE49-F238E27FC236}">
              <a16:creationId xmlns:a16="http://schemas.microsoft.com/office/drawing/2014/main" id="{4DACFA3A-D539-25AD-E5E3-22073F05C462}"/>
            </a:ext>
          </a:extLst>
        </xdr:cNvPr>
        <xdr:cNvGrpSpPr/>
      </xdr:nvGrpSpPr>
      <xdr:grpSpPr>
        <a:xfrm>
          <a:off x="290130" y="9163068"/>
          <a:ext cx="7088041" cy="1389937"/>
          <a:chOff x="221338" y="11217293"/>
          <a:chExt cx="7663775" cy="1785754"/>
        </a:xfrm>
      </xdr:grpSpPr>
      <xdr:sp macro="" textlink="">
        <xdr:nvSpPr>
          <xdr:cNvPr id="120" name="Rectángulo: esquinas redondeadas 119">
            <a:extLst>
              <a:ext uri="{FF2B5EF4-FFF2-40B4-BE49-F238E27FC236}">
                <a16:creationId xmlns:a16="http://schemas.microsoft.com/office/drawing/2014/main" id="{CA39A23F-4A2B-4D93-AC25-2FB3DB818AB9}"/>
              </a:ext>
            </a:extLst>
          </xdr:cNvPr>
          <xdr:cNvSpPr/>
        </xdr:nvSpPr>
        <xdr:spPr>
          <a:xfrm>
            <a:off x="221338" y="11686920"/>
            <a:ext cx="1123948" cy="418041"/>
          </a:xfrm>
          <a:prstGeom prst="roundRect">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¿Esto sucede?</a:t>
            </a:r>
          </a:p>
        </xdr:txBody>
      </xdr:sp>
      <xdr:sp macro="" textlink="">
        <xdr:nvSpPr>
          <xdr:cNvPr id="124" name="Rectángulo: esquinas redondeadas 123">
            <a:extLst>
              <a:ext uri="{FF2B5EF4-FFF2-40B4-BE49-F238E27FC236}">
                <a16:creationId xmlns:a16="http://schemas.microsoft.com/office/drawing/2014/main" id="{0D9A3516-E50A-4199-ACAB-65B7512D4E2C}"/>
              </a:ext>
            </a:extLst>
          </xdr:cNvPr>
          <xdr:cNvSpPr/>
        </xdr:nvSpPr>
        <xdr:spPr>
          <a:xfrm>
            <a:off x="2361288" y="11217293"/>
            <a:ext cx="1493271" cy="439992"/>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Entonces, haz esto...</a:t>
            </a:r>
          </a:p>
        </xdr:txBody>
      </xdr:sp>
      <xdr:cxnSp macro="">
        <xdr:nvCxnSpPr>
          <xdr:cNvPr id="128" name="Conector: angular 127">
            <a:extLst>
              <a:ext uri="{FF2B5EF4-FFF2-40B4-BE49-F238E27FC236}">
                <a16:creationId xmlns:a16="http://schemas.microsoft.com/office/drawing/2014/main" id="{A4AE9159-2DA1-A2E2-B869-DBDFAA63B5FE}"/>
              </a:ext>
            </a:extLst>
          </xdr:cNvPr>
          <xdr:cNvCxnSpPr>
            <a:stCxn id="120" idx="3"/>
            <a:endCxn id="124" idx="1"/>
          </xdr:cNvCxnSpPr>
        </xdr:nvCxnSpPr>
        <xdr:spPr>
          <a:xfrm flipV="1">
            <a:off x="1345286" y="11440464"/>
            <a:ext cx="1019177" cy="458651"/>
          </a:xfrm>
          <a:prstGeom prst="bentConnector3">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139" name="Rectángulo: esquinas redondeadas 138">
            <a:extLst>
              <a:ext uri="{FF2B5EF4-FFF2-40B4-BE49-F238E27FC236}">
                <a16:creationId xmlns:a16="http://schemas.microsoft.com/office/drawing/2014/main" id="{8BF21803-A658-4C69-B364-AB35D8EF7DEB}"/>
              </a:ext>
            </a:extLst>
          </xdr:cNvPr>
          <xdr:cNvSpPr/>
        </xdr:nvSpPr>
        <xdr:spPr>
          <a:xfrm>
            <a:off x="2359390" y="12046496"/>
            <a:ext cx="1459149" cy="443441"/>
          </a:xfrm>
          <a:prstGeom prst="roundRect">
            <a:avLst/>
          </a:prstGeom>
          <a:gradFill flip="none" rotWithShape="1">
            <a:gsLst>
              <a:gs pos="47000">
                <a:schemeClr val="accent2">
                  <a:lumMod val="75000"/>
                </a:schemeClr>
              </a:gs>
              <a:gs pos="53000">
                <a:schemeClr val="accent6">
                  <a:shade val="67500"/>
                  <a:satMod val="115000"/>
                </a:schemeClr>
              </a:gs>
            </a:gsLst>
            <a:path path="circle">
              <a:fillToRect l="100000" t="100000"/>
            </a:path>
            <a:tileRect r="-100000" b="-100000"/>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De lo contrario...</a:t>
            </a:r>
          </a:p>
          <a:p>
            <a:pPr algn="ctr"/>
            <a:r>
              <a:rPr lang="en-US" sz="900" b="1">
                <a:latin typeface="Montserrat" panose="00000500000000000000" pitchFamily="2" charset="0"/>
              </a:rPr>
              <a:t>¿Entonces es esto?</a:t>
            </a:r>
          </a:p>
        </xdr:txBody>
      </xdr:sp>
      <xdr:cxnSp macro="">
        <xdr:nvCxnSpPr>
          <xdr:cNvPr id="141" name="Conector: angular 140">
            <a:extLst>
              <a:ext uri="{FF2B5EF4-FFF2-40B4-BE49-F238E27FC236}">
                <a16:creationId xmlns:a16="http://schemas.microsoft.com/office/drawing/2014/main" id="{100E049B-2D18-7532-5F6D-2C57E088271A}"/>
              </a:ext>
            </a:extLst>
          </xdr:cNvPr>
          <xdr:cNvCxnSpPr>
            <a:stCxn id="120" idx="3"/>
            <a:endCxn id="139" idx="1"/>
          </xdr:cNvCxnSpPr>
        </xdr:nvCxnSpPr>
        <xdr:spPr>
          <a:xfrm>
            <a:off x="1345286" y="11899115"/>
            <a:ext cx="1017279" cy="369101"/>
          </a:xfrm>
          <a:prstGeom prst="bentConnector3">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149" name="Rectángulo: esquinas redondeadas 148">
            <a:extLst>
              <a:ext uri="{FF2B5EF4-FFF2-40B4-BE49-F238E27FC236}">
                <a16:creationId xmlns:a16="http://schemas.microsoft.com/office/drawing/2014/main" id="{5C2D1A55-59E3-4BC2-BEAC-C859C9C8728B}"/>
              </a:ext>
            </a:extLst>
          </xdr:cNvPr>
          <xdr:cNvSpPr/>
        </xdr:nvSpPr>
        <xdr:spPr>
          <a:xfrm>
            <a:off x="5571705" y="11594077"/>
            <a:ext cx="1508434" cy="437092"/>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Entonces, haz esto...</a:t>
            </a:r>
          </a:p>
        </xdr:txBody>
      </xdr:sp>
      <xdr:cxnSp macro="">
        <xdr:nvCxnSpPr>
          <xdr:cNvPr id="151" name="Conector: angular 150">
            <a:extLst>
              <a:ext uri="{FF2B5EF4-FFF2-40B4-BE49-F238E27FC236}">
                <a16:creationId xmlns:a16="http://schemas.microsoft.com/office/drawing/2014/main" id="{2D16F1F0-8D77-CF75-1DE8-7C4F433C4D62}"/>
              </a:ext>
            </a:extLst>
          </xdr:cNvPr>
          <xdr:cNvCxnSpPr>
            <a:stCxn id="139" idx="3"/>
            <a:endCxn id="149" idx="1"/>
          </xdr:cNvCxnSpPr>
        </xdr:nvCxnSpPr>
        <xdr:spPr>
          <a:xfrm flipV="1">
            <a:off x="3821714" y="11812623"/>
            <a:ext cx="1753166" cy="455593"/>
          </a:xfrm>
          <a:prstGeom prst="bentConnector3">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156" name="Rectángulo: esquinas redondeadas 155">
            <a:extLst>
              <a:ext uri="{FF2B5EF4-FFF2-40B4-BE49-F238E27FC236}">
                <a16:creationId xmlns:a16="http://schemas.microsoft.com/office/drawing/2014/main" id="{8955C0AC-4663-4458-BABC-5C40B1239233}"/>
              </a:ext>
            </a:extLst>
          </xdr:cNvPr>
          <xdr:cNvSpPr/>
        </xdr:nvSpPr>
        <xdr:spPr>
          <a:xfrm>
            <a:off x="5569844" y="12565955"/>
            <a:ext cx="1498909" cy="437092"/>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b="1">
                <a:solidFill>
                  <a:schemeClr val="lt1"/>
                </a:solidFill>
                <a:latin typeface="Montserrat" panose="00000500000000000000" pitchFamily="2" charset="0"/>
                <a:ea typeface="+mn-ea"/>
                <a:cs typeface="+mn-cs"/>
              </a:rPr>
              <a:t>En caso contrario, haz esto...</a:t>
            </a:r>
          </a:p>
        </xdr:txBody>
      </xdr:sp>
      <xdr:cxnSp macro="">
        <xdr:nvCxnSpPr>
          <xdr:cNvPr id="161" name="Conector: angular 160">
            <a:extLst>
              <a:ext uri="{FF2B5EF4-FFF2-40B4-BE49-F238E27FC236}">
                <a16:creationId xmlns:a16="http://schemas.microsoft.com/office/drawing/2014/main" id="{49C4F606-6808-6112-73ED-792E88357BE6}"/>
              </a:ext>
            </a:extLst>
          </xdr:cNvPr>
          <xdr:cNvCxnSpPr>
            <a:stCxn id="139" idx="3"/>
            <a:endCxn id="156" idx="1"/>
          </xdr:cNvCxnSpPr>
        </xdr:nvCxnSpPr>
        <xdr:spPr>
          <a:xfrm>
            <a:off x="3821714" y="12268216"/>
            <a:ext cx="1751305" cy="516285"/>
          </a:xfrm>
          <a:prstGeom prst="bentConnector3">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169" name="Rectángulo: esquinas redondeadas 168">
            <a:extLst>
              <a:ext uri="{FF2B5EF4-FFF2-40B4-BE49-F238E27FC236}">
                <a16:creationId xmlns:a16="http://schemas.microsoft.com/office/drawing/2014/main" id="{800884DF-3C5C-42D5-A15E-200317AA5CD2}"/>
              </a:ext>
            </a:extLst>
          </xdr:cNvPr>
          <xdr:cNvSpPr/>
        </xdr:nvSpPr>
        <xdr:spPr>
          <a:xfrm>
            <a:off x="4239301" y="11217293"/>
            <a:ext cx="439063" cy="439992"/>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Fin</a:t>
            </a:r>
          </a:p>
        </xdr:txBody>
      </xdr:sp>
      <xdr:cxnSp macro="">
        <xdr:nvCxnSpPr>
          <xdr:cNvPr id="171" name="Conector recto de flecha 170">
            <a:extLst>
              <a:ext uri="{FF2B5EF4-FFF2-40B4-BE49-F238E27FC236}">
                <a16:creationId xmlns:a16="http://schemas.microsoft.com/office/drawing/2014/main" id="{D67A7D94-C63D-2B6B-EB52-7B4ABF41DDB1}"/>
              </a:ext>
            </a:extLst>
          </xdr:cNvPr>
          <xdr:cNvCxnSpPr>
            <a:stCxn id="124" idx="3"/>
            <a:endCxn id="169" idx="1"/>
          </xdr:cNvCxnSpPr>
        </xdr:nvCxnSpPr>
        <xdr:spPr>
          <a:xfrm>
            <a:off x="3857734" y="11440464"/>
            <a:ext cx="378392"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173" name="Rectángulo: esquinas redondeadas 172">
            <a:extLst>
              <a:ext uri="{FF2B5EF4-FFF2-40B4-BE49-F238E27FC236}">
                <a16:creationId xmlns:a16="http://schemas.microsoft.com/office/drawing/2014/main" id="{0E59AF85-AEE7-43C3-A874-43B84690C367}"/>
              </a:ext>
            </a:extLst>
          </xdr:cNvPr>
          <xdr:cNvSpPr/>
        </xdr:nvSpPr>
        <xdr:spPr>
          <a:xfrm>
            <a:off x="7449225" y="12565081"/>
            <a:ext cx="435888" cy="436817"/>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Fin</a:t>
            </a:r>
          </a:p>
        </xdr:txBody>
      </xdr:sp>
      <xdr:cxnSp macro="">
        <xdr:nvCxnSpPr>
          <xdr:cNvPr id="174" name="Conector recto de flecha 173">
            <a:extLst>
              <a:ext uri="{FF2B5EF4-FFF2-40B4-BE49-F238E27FC236}">
                <a16:creationId xmlns:a16="http://schemas.microsoft.com/office/drawing/2014/main" id="{F07D3922-6A24-48C2-8764-4140EC7AE478}"/>
              </a:ext>
            </a:extLst>
          </xdr:cNvPr>
          <xdr:cNvCxnSpPr>
            <a:stCxn id="156" idx="3"/>
            <a:endCxn id="173" idx="1"/>
          </xdr:cNvCxnSpPr>
        </xdr:nvCxnSpPr>
        <xdr:spPr>
          <a:xfrm flipV="1">
            <a:off x="7065578" y="12783092"/>
            <a:ext cx="380472" cy="101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1</xdr:col>
      <xdr:colOff>168274</xdr:colOff>
      <xdr:row>0</xdr:row>
      <xdr:rowOff>137584</xdr:rowOff>
    </xdr:from>
    <xdr:to>
      <xdr:col>1</xdr:col>
      <xdr:colOff>645583</xdr:colOff>
      <xdr:row>2</xdr:row>
      <xdr:rowOff>176764</xdr:rowOff>
    </xdr:to>
    <xdr:pic>
      <xdr:nvPicPr>
        <xdr:cNvPr id="181" name="Gráfico 180" descr="Left Brain con relleno sólido">
          <a:extLst>
            <a:ext uri="{FF2B5EF4-FFF2-40B4-BE49-F238E27FC236}">
              <a16:creationId xmlns:a16="http://schemas.microsoft.com/office/drawing/2014/main" id="{A6DAB9D8-ED0F-4D51-87A1-50138036918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95274" y="137584"/>
          <a:ext cx="474134" cy="481563"/>
        </a:xfrm>
        <a:prstGeom prst="rect">
          <a:avLst/>
        </a:prstGeom>
      </xdr:spPr>
    </xdr:pic>
    <xdr:clientData/>
  </xdr:twoCellAnchor>
  <xdr:twoCellAnchor editAs="oneCell">
    <xdr:from>
      <xdr:col>0</xdr:col>
      <xdr:colOff>119944</xdr:colOff>
      <xdr:row>69</xdr:row>
      <xdr:rowOff>180271</xdr:rowOff>
    </xdr:from>
    <xdr:to>
      <xdr:col>12</xdr:col>
      <xdr:colOff>1731258</xdr:colOff>
      <xdr:row>71</xdr:row>
      <xdr:rowOff>2</xdr:rowOff>
    </xdr:to>
    <xdr:sp macro="" textlink="">
      <xdr:nvSpPr>
        <xdr:cNvPr id="11" name="Rectángulo: esquinas redondeadas 10">
          <a:extLst>
            <a:ext uri="{FF2B5EF4-FFF2-40B4-BE49-F238E27FC236}">
              <a16:creationId xmlns:a16="http://schemas.microsoft.com/office/drawing/2014/main" id="{C4470794-E1B2-463A-B066-EA4322D7551C}"/>
            </a:ext>
          </a:extLst>
        </xdr:cNvPr>
        <xdr:cNvSpPr/>
      </xdr:nvSpPr>
      <xdr:spPr>
        <a:xfrm>
          <a:off x="119944" y="16210493"/>
          <a:ext cx="13583533" cy="26493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4</a:t>
          </a:r>
        </a:p>
      </xdr:txBody>
    </xdr:sp>
    <xdr:clientData/>
  </xdr:twoCellAnchor>
  <xdr:twoCellAnchor>
    <xdr:from>
      <xdr:col>6</xdr:col>
      <xdr:colOff>732074</xdr:colOff>
      <xdr:row>51</xdr:row>
      <xdr:rowOff>187065</xdr:rowOff>
    </xdr:from>
    <xdr:to>
      <xdr:col>7</xdr:col>
      <xdr:colOff>42333</xdr:colOff>
      <xdr:row>51</xdr:row>
      <xdr:rowOff>190500</xdr:rowOff>
    </xdr:to>
    <xdr:cxnSp macro="">
      <xdr:nvCxnSpPr>
        <xdr:cNvPr id="42" name="Conector recto de flecha 41">
          <a:extLst>
            <a:ext uri="{FF2B5EF4-FFF2-40B4-BE49-F238E27FC236}">
              <a16:creationId xmlns:a16="http://schemas.microsoft.com/office/drawing/2014/main" id="{D5BC57FF-CF1E-4A5B-B59A-2AB79555B183}"/>
            </a:ext>
          </a:extLst>
        </xdr:cNvPr>
        <xdr:cNvCxnSpPr>
          <a:stCxn id="149" idx="3"/>
        </xdr:cNvCxnSpPr>
      </xdr:nvCxnSpPr>
      <xdr:spPr>
        <a:xfrm>
          <a:off x="7392518" y="12040398"/>
          <a:ext cx="396815" cy="34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7</xdr:col>
      <xdr:colOff>46713</xdr:colOff>
      <xdr:row>50</xdr:row>
      <xdr:rowOff>188048</xdr:rowOff>
    </xdr:from>
    <xdr:to>
      <xdr:col>7</xdr:col>
      <xdr:colOff>497409</xdr:colOff>
      <xdr:row>52</xdr:row>
      <xdr:rowOff>168632</xdr:rowOff>
    </xdr:to>
    <xdr:sp macro="" textlink="">
      <xdr:nvSpPr>
        <xdr:cNvPr id="59" name="Rectángulo: esquinas redondeadas 58">
          <a:extLst>
            <a:ext uri="{FF2B5EF4-FFF2-40B4-BE49-F238E27FC236}">
              <a16:creationId xmlns:a16="http://schemas.microsoft.com/office/drawing/2014/main" id="{B69C7980-C98D-4D25-87BD-0DF6FECA1C79}"/>
            </a:ext>
          </a:extLst>
        </xdr:cNvPr>
        <xdr:cNvSpPr/>
      </xdr:nvSpPr>
      <xdr:spPr>
        <a:xfrm>
          <a:off x="7793713" y="11815604"/>
          <a:ext cx="450696" cy="432139"/>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Fin</a:t>
          </a:r>
        </a:p>
      </xdr:txBody>
    </xdr:sp>
    <xdr:clientData/>
  </xdr:twoCellAnchor>
  <xdr:twoCellAnchor>
    <xdr:from>
      <xdr:col>5</xdr:col>
      <xdr:colOff>716990</xdr:colOff>
      <xdr:row>46</xdr:row>
      <xdr:rowOff>105852</xdr:rowOff>
    </xdr:from>
    <xdr:to>
      <xdr:col>11</xdr:col>
      <xdr:colOff>370063</xdr:colOff>
      <xdr:row>48</xdr:row>
      <xdr:rowOff>27075</xdr:rowOff>
    </xdr:to>
    <xdr:sp macro="" textlink="">
      <xdr:nvSpPr>
        <xdr:cNvPr id="60" name="Rectángulo: esquinas redondeadas 59">
          <a:extLst>
            <a:ext uri="{FF2B5EF4-FFF2-40B4-BE49-F238E27FC236}">
              <a16:creationId xmlns:a16="http://schemas.microsoft.com/office/drawing/2014/main" id="{5145F08E-5980-48B2-81C6-C8D57198D0CC}"/>
            </a:ext>
          </a:extLst>
        </xdr:cNvPr>
        <xdr:cNvSpPr/>
      </xdr:nvSpPr>
      <xdr:spPr>
        <a:xfrm>
          <a:off x="6185046" y="10802074"/>
          <a:ext cx="5459795" cy="401001"/>
        </a:xfrm>
        <a:prstGeom prst="roundRect">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900" b="1">
            <a:latin typeface="Montserrat" panose="00000500000000000000" pitchFamily="2" charset="0"/>
          </a:endParaRPr>
        </a:p>
      </xdr:txBody>
    </xdr:sp>
    <xdr:clientData/>
  </xdr:twoCellAnchor>
  <xdr:twoCellAnchor>
    <xdr:from>
      <xdr:col>5</xdr:col>
      <xdr:colOff>550127</xdr:colOff>
      <xdr:row>45</xdr:row>
      <xdr:rowOff>69850</xdr:rowOff>
    </xdr:from>
    <xdr:to>
      <xdr:col>5</xdr:col>
      <xdr:colOff>779286</xdr:colOff>
      <xdr:row>46</xdr:row>
      <xdr:rowOff>109009</xdr:rowOff>
    </xdr:to>
    <xdr:sp macro="" textlink="">
      <xdr:nvSpPr>
        <xdr:cNvPr id="61" name="Rectángulo: esquinas redondeadas 60">
          <a:extLst>
            <a:ext uri="{FF2B5EF4-FFF2-40B4-BE49-F238E27FC236}">
              <a16:creationId xmlns:a16="http://schemas.microsoft.com/office/drawing/2014/main" id="{5BFB9A3E-18F8-4DF5-B41B-1F9A5768F78B}"/>
            </a:ext>
          </a:extLst>
        </xdr:cNvPr>
        <xdr:cNvSpPr/>
      </xdr:nvSpPr>
      <xdr:spPr>
        <a:xfrm>
          <a:off x="6018183" y="10526183"/>
          <a:ext cx="229159" cy="27904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0</a:t>
          </a:r>
        </a:p>
      </xdr:txBody>
    </xdr:sp>
    <xdr:clientData/>
  </xdr:twoCellAnchor>
  <xdr:twoCellAnchor>
    <xdr:from>
      <xdr:col>5</xdr:col>
      <xdr:colOff>1065183</xdr:colOff>
      <xdr:row>45</xdr:row>
      <xdr:rowOff>58913</xdr:rowOff>
    </xdr:from>
    <xdr:to>
      <xdr:col>6</xdr:col>
      <xdr:colOff>101954</xdr:colOff>
      <xdr:row>46</xdr:row>
      <xdr:rowOff>98072</xdr:rowOff>
    </xdr:to>
    <xdr:sp macro="" textlink="">
      <xdr:nvSpPr>
        <xdr:cNvPr id="64" name="Rectángulo: esquinas redondeadas 63">
          <a:extLst>
            <a:ext uri="{FF2B5EF4-FFF2-40B4-BE49-F238E27FC236}">
              <a16:creationId xmlns:a16="http://schemas.microsoft.com/office/drawing/2014/main" id="{83C69469-BDB5-4845-838D-1864E156606E}"/>
            </a:ext>
          </a:extLst>
        </xdr:cNvPr>
        <xdr:cNvSpPr/>
      </xdr:nvSpPr>
      <xdr:spPr>
        <a:xfrm>
          <a:off x="6533239" y="10515246"/>
          <a:ext cx="229159" cy="27904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1</a:t>
          </a:r>
        </a:p>
      </xdr:txBody>
    </xdr:sp>
    <xdr:clientData/>
  </xdr:twoCellAnchor>
  <xdr:twoCellAnchor>
    <xdr:from>
      <xdr:col>6</xdr:col>
      <xdr:colOff>420306</xdr:colOff>
      <xdr:row>45</xdr:row>
      <xdr:rowOff>56091</xdr:rowOff>
    </xdr:from>
    <xdr:to>
      <xdr:col>6</xdr:col>
      <xdr:colOff>658990</xdr:colOff>
      <xdr:row>46</xdr:row>
      <xdr:rowOff>104775</xdr:rowOff>
    </xdr:to>
    <xdr:sp macro="" textlink="">
      <xdr:nvSpPr>
        <xdr:cNvPr id="65" name="Rectángulo: esquinas redondeadas 64">
          <a:extLst>
            <a:ext uri="{FF2B5EF4-FFF2-40B4-BE49-F238E27FC236}">
              <a16:creationId xmlns:a16="http://schemas.microsoft.com/office/drawing/2014/main" id="{235D11C1-3276-4491-AD36-C7A0525CC513}"/>
            </a:ext>
          </a:extLst>
        </xdr:cNvPr>
        <xdr:cNvSpPr/>
      </xdr:nvSpPr>
      <xdr:spPr>
        <a:xfrm>
          <a:off x="7080750" y="10512424"/>
          <a:ext cx="238684" cy="288573"/>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2</a:t>
          </a:r>
        </a:p>
      </xdr:txBody>
    </xdr:sp>
    <xdr:clientData/>
  </xdr:twoCellAnchor>
  <xdr:twoCellAnchor>
    <xdr:from>
      <xdr:col>6</xdr:col>
      <xdr:colOff>960761</xdr:colOff>
      <xdr:row>45</xdr:row>
      <xdr:rowOff>60325</xdr:rowOff>
    </xdr:from>
    <xdr:to>
      <xdr:col>7</xdr:col>
      <xdr:colOff>116064</xdr:colOff>
      <xdr:row>46</xdr:row>
      <xdr:rowOff>112184</xdr:rowOff>
    </xdr:to>
    <xdr:sp macro="" textlink="">
      <xdr:nvSpPr>
        <xdr:cNvPr id="66" name="Rectángulo: esquinas redondeadas 65">
          <a:extLst>
            <a:ext uri="{FF2B5EF4-FFF2-40B4-BE49-F238E27FC236}">
              <a16:creationId xmlns:a16="http://schemas.microsoft.com/office/drawing/2014/main" id="{6E77AF10-6154-4E94-8191-02D378C509CF}"/>
            </a:ext>
          </a:extLst>
        </xdr:cNvPr>
        <xdr:cNvSpPr/>
      </xdr:nvSpPr>
      <xdr:spPr>
        <a:xfrm>
          <a:off x="7621205" y="10516658"/>
          <a:ext cx="241859" cy="29174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3</a:t>
          </a:r>
        </a:p>
      </xdr:txBody>
    </xdr:sp>
    <xdr:clientData/>
  </xdr:twoCellAnchor>
  <xdr:twoCellAnchor>
    <xdr:from>
      <xdr:col>7</xdr:col>
      <xdr:colOff>420658</xdr:colOff>
      <xdr:row>45</xdr:row>
      <xdr:rowOff>60325</xdr:rowOff>
    </xdr:from>
    <xdr:to>
      <xdr:col>7</xdr:col>
      <xdr:colOff>659342</xdr:colOff>
      <xdr:row>46</xdr:row>
      <xdr:rowOff>115359</xdr:rowOff>
    </xdr:to>
    <xdr:sp macro="" textlink="">
      <xdr:nvSpPr>
        <xdr:cNvPr id="82" name="Rectángulo: esquinas redondeadas 81">
          <a:extLst>
            <a:ext uri="{FF2B5EF4-FFF2-40B4-BE49-F238E27FC236}">
              <a16:creationId xmlns:a16="http://schemas.microsoft.com/office/drawing/2014/main" id="{1237D968-3E4D-46FF-8250-FADA3A257FFA}"/>
            </a:ext>
          </a:extLst>
        </xdr:cNvPr>
        <xdr:cNvSpPr/>
      </xdr:nvSpPr>
      <xdr:spPr>
        <a:xfrm>
          <a:off x="8167658" y="10516658"/>
          <a:ext cx="238684" cy="294923"/>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4</a:t>
          </a:r>
        </a:p>
      </xdr:txBody>
    </xdr:sp>
    <xdr:clientData/>
  </xdr:twoCellAnchor>
  <xdr:twoCellAnchor>
    <xdr:from>
      <xdr:col>8</xdr:col>
      <xdr:colOff>114447</xdr:colOff>
      <xdr:row>45</xdr:row>
      <xdr:rowOff>57503</xdr:rowOff>
    </xdr:from>
    <xdr:to>
      <xdr:col>8</xdr:col>
      <xdr:colOff>356306</xdr:colOff>
      <xdr:row>46</xdr:row>
      <xdr:rowOff>115712</xdr:rowOff>
    </xdr:to>
    <xdr:sp macro="" textlink="">
      <xdr:nvSpPr>
        <xdr:cNvPr id="83" name="Rectángulo: esquinas redondeadas 82">
          <a:extLst>
            <a:ext uri="{FF2B5EF4-FFF2-40B4-BE49-F238E27FC236}">
              <a16:creationId xmlns:a16="http://schemas.microsoft.com/office/drawing/2014/main" id="{BF6B69D7-CC50-4139-8748-23D8FA63B8C7}"/>
            </a:ext>
          </a:extLst>
        </xdr:cNvPr>
        <xdr:cNvSpPr/>
      </xdr:nvSpPr>
      <xdr:spPr>
        <a:xfrm>
          <a:off x="8701058" y="10513836"/>
          <a:ext cx="241859" cy="29809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5</a:t>
          </a:r>
        </a:p>
      </xdr:txBody>
    </xdr:sp>
    <xdr:clientData/>
  </xdr:twoCellAnchor>
  <xdr:twoCellAnchor>
    <xdr:from>
      <xdr:col>8</xdr:col>
      <xdr:colOff>677481</xdr:colOff>
      <xdr:row>45</xdr:row>
      <xdr:rowOff>49035</xdr:rowOff>
    </xdr:from>
    <xdr:to>
      <xdr:col>8</xdr:col>
      <xdr:colOff>909815</xdr:colOff>
      <xdr:row>46</xdr:row>
      <xdr:rowOff>91369</xdr:rowOff>
    </xdr:to>
    <xdr:sp macro="" textlink="">
      <xdr:nvSpPr>
        <xdr:cNvPr id="122" name="Rectángulo: esquinas redondeadas 121">
          <a:extLst>
            <a:ext uri="{FF2B5EF4-FFF2-40B4-BE49-F238E27FC236}">
              <a16:creationId xmlns:a16="http://schemas.microsoft.com/office/drawing/2014/main" id="{47199E05-7130-4939-AD88-074D8CB0AE63}"/>
            </a:ext>
          </a:extLst>
        </xdr:cNvPr>
        <xdr:cNvSpPr/>
      </xdr:nvSpPr>
      <xdr:spPr>
        <a:xfrm>
          <a:off x="9264092" y="10505368"/>
          <a:ext cx="232334" cy="282223"/>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6</a:t>
          </a:r>
        </a:p>
      </xdr:txBody>
    </xdr:sp>
    <xdr:clientData/>
  </xdr:twoCellAnchor>
  <xdr:twoCellAnchor>
    <xdr:from>
      <xdr:col>9</xdr:col>
      <xdr:colOff>57650</xdr:colOff>
      <xdr:row>45</xdr:row>
      <xdr:rowOff>46213</xdr:rowOff>
    </xdr:from>
    <xdr:to>
      <xdr:col>9</xdr:col>
      <xdr:colOff>299509</xdr:colOff>
      <xdr:row>46</xdr:row>
      <xdr:rowOff>98072</xdr:rowOff>
    </xdr:to>
    <xdr:sp macro="" textlink="">
      <xdr:nvSpPr>
        <xdr:cNvPr id="123" name="Rectángulo: esquinas redondeadas 122">
          <a:extLst>
            <a:ext uri="{FF2B5EF4-FFF2-40B4-BE49-F238E27FC236}">
              <a16:creationId xmlns:a16="http://schemas.microsoft.com/office/drawing/2014/main" id="{577CBDA2-EF71-44EF-8FD4-AFF1472E0A56}"/>
            </a:ext>
          </a:extLst>
        </xdr:cNvPr>
        <xdr:cNvSpPr/>
      </xdr:nvSpPr>
      <xdr:spPr>
        <a:xfrm>
          <a:off x="9808428" y="10502546"/>
          <a:ext cx="241859" cy="29174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7</a:t>
          </a:r>
        </a:p>
      </xdr:txBody>
    </xdr:sp>
    <xdr:clientData/>
  </xdr:twoCellAnchor>
  <xdr:twoCellAnchor>
    <xdr:from>
      <xdr:col>9</xdr:col>
      <xdr:colOff>604455</xdr:colOff>
      <xdr:row>45</xdr:row>
      <xdr:rowOff>50447</xdr:rowOff>
    </xdr:from>
    <xdr:to>
      <xdr:col>9</xdr:col>
      <xdr:colOff>839964</xdr:colOff>
      <xdr:row>46</xdr:row>
      <xdr:rowOff>105481</xdr:rowOff>
    </xdr:to>
    <xdr:sp macro="" textlink="">
      <xdr:nvSpPr>
        <xdr:cNvPr id="125" name="Rectángulo: esquinas redondeadas 124">
          <a:extLst>
            <a:ext uri="{FF2B5EF4-FFF2-40B4-BE49-F238E27FC236}">
              <a16:creationId xmlns:a16="http://schemas.microsoft.com/office/drawing/2014/main" id="{747BA95F-90A8-41E8-AC4A-9B83B7FA0AA7}"/>
            </a:ext>
          </a:extLst>
        </xdr:cNvPr>
        <xdr:cNvSpPr/>
      </xdr:nvSpPr>
      <xdr:spPr>
        <a:xfrm>
          <a:off x="10355233" y="10506780"/>
          <a:ext cx="235509" cy="294923"/>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8</a:t>
          </a:r>
        </a:p>
      </xdr:txBody>
    </xdr:sp>
    <xdr:clientData/>
  </xdr:twoCellAnchor>
  <xdr:twoCellAnchor>
    <xdr:from>
      <xdr:col>10</xdr:col>
      <xdr:colOff>114447</xdr:colOff>
      <xdr:row>45</xdr:row>
      <xdr:rowOff>50447</xdr:rowOff>
    </xdr:from>
    <xdr:to>
      <xdr:col>10</xdr:col>
      <xdr:colOff>356306</xdr:colOff>
      <xdr:row>46</xdr:row>
      <xdr:rowOff>108656</xdr:rowOff>
    </xdr:to>
    <xdr:sp macro="" textlink="">
      <xdr:nvSpPr>
        <xdr:cNvPr id="126" name="Rectángulo: esquinas redondeadas 125">
          <a:extLst>
            <a:ext uri="{FF2B5EF4-FFF2-40B4-BE49-F238E27FC236}">
              <a16:creationId xmlns:a16="http://schemas.microsoft.com/office/drawing/2014/main" id="{B5060D32-E3A6-4B14-B815-025A93A0071F}"/>
            </a:ext>
          </a:extLst>
        </xdr:cNvPr>
        <xdr:cNvSpPr/>
      </xdr:nvSpPr>
      <xdr:spPr>
        <a:xfrm>
          <a:off x="10895336" y="10506780"/>
          <a:ext cx="241859" cy="298098"/>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9</a:t>
          </a:r>
        </a:p>
      </xdr:txBody>
    </xdr:sp>
    <xdr:clientData/>
  </xdr:twoCellAnchor>
  <xdr:twoCellAnchor>
    <xdr:from>
      <xdr:col>11</xdr:col>
      <xdr:colOff>153958</xdr:colOff>
      <xdr:row>45</xdr:row>
      <xdr:rowOff>53975</xdr:rowOff>
    </xdr:from>
    <xdr:to>
      <xdr:col>11</xdr:col>
      <xdr:colOff>543278</xdr:colOff>
      <xdr:row>46</xdr:row>
      <xdr:rowOff>127000</xdr:rowOff>
    </xdr:to>
    <xdr:sp macro="" textlink="">
      <xdr:nvSpPr>
        <xdr:cNvPr id="127" name="Rectángulo: esquinas redondeadas 126">
          <a:extLst>
            <a:ext uri="{FF2B5EF4-FFF2-40B4-BE49-F238E27FC236}">
              <a16:creationId xmlns:a16="http://schemas.microsoft.com/office/drawing/2014/main" id="{A9399B6B-F2A1-4BE0-8869-62654BC08CBC}"/>
            </a:ext>
          </a:extLst>
        </xdr:cNvPr>
        <xdr:cNvSpPr/>
      </xdr:nvSpPr>
      <xdr:spPr>
        <a:xfrm>
          <a:off x="11428736" y="10510308"/>
          <a:ext cx="389320" cy="312914"/>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10</a:t>
          </a:r>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11</xdr:col>
      <xdr:colOff>421393</xdr:colOff>
      <xdr:row>4</xdr:row>
      <xdr:rowOff>177800</xdr:rowOff>
    </xdr:to>
    <xdr:sp macro="" textlink="">
      <xdr:nvSpPr>
        <xdr:cNvPr id="2" name="Rectángulo: esquinas redondeadas 1">
          <a:extLst>
            <a:ext uri="{FF2B5EF4-FFF2-40B4-BE49-F238E27FC236}">
              <a16:creationId xmlns:a16="http://schemas.microsoft.com/office/drawing/2014/main" id="{4CAEA125-DE37-45CD-AB0E-3A4A13DB4765}"/>
            </a:ext>
          </a:extLst>
        </xdr:cNvPr>
        <xdr:cNvSpPr/>
      </xdr:nvSpPr>
      <xdr:spPr>
        <a:xfrm>
          <a:off x="123824" y="7620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76200</xdr:rowOff>
    </xdr:from>
    <xdr:to>
      <xdr:col>11</xdr:col>
      <xdr:colOff>461433</xdr:colOff>
      <xdr:row>7</xdr:row>
      <xdr:rowOff>111126</xdr:rowOff>
    </xdr:to>
    <xdr:sp macro="" textlink="">
      <xdr:nvSpPr>
        <xdr:cNvPr id="3" name="Rectángulo: esquinas redondeadas 2">
          <a:extLst>
            <a:ext uri="{FF2B5EF4-FFF2-40B4-BE49-F238E27FC236}">
              <a16:creationId xmlns:a16="http://schemas.microsoft.com/office/drawing/2014/main" id="{5694267D-2C66-4028-9B26-4A62BD9306D7}"/>
            </a:ext>
          </a:extLst>
        </xdr:cNvPr>
        <xdr:cNvSpPr/>
      </xdr:nvSpPr>
      <xdr:spPr>
        <a:xfrm>
          <a:off x="152398" y="1123950"/>
          <a:ext cx="13050310" cy="44767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SI.CONJUNTO (IFS en inglés) </a:t>
          </a:r>
          <a:r>
            <a:rPr lang="en-US" sz="1000" b="0">
              <a:solidFill>
                <a:schemeClr val="tx1"/>
              </a:solidFill>
              <a:latin typeface="Montserrat" panose="00000500000000000000" pitchFamily="2" charset="0"/>
              <a:ea typeface="+mn-ea"/>
              <a:cs typeface="+mn-cs"/>
            </a:rPr>
            <a:t>es una función en Excel que permite evaluar múltiples condiciones y devolver un valor para la primera condición verdadera. Simplifica las fórmulas al eliminar la necesidad de anidar varias funciones SI. Es especialmente útil cuando tienes varios posibles resultados basados en distintas condiciones.</a:t>
          </a:r>
        </a:p>
      </xdr:txBody>
    </xdr:sp>
    <xdr:clientData/>
  </xdr:twoCellAnchor>
  <xdr:twoCellAnchor editAs="absolute">
    <xdr:from>
      <xdr:col>1</xdr:col>
      <xdr:colOff>3174</xdr:colOff>
      <xdr:row>8</xdr:row>
      <xdr:rowOff>57150</xdr:rowOff>
    </xdr:from>
    <xdr:to>
      <xdr:col>11</xdr:col>
      <xdr:colOff>421393</xdr:colOff>
      <xdr:row>9</xdr:row>
      <xdr:rowOff>111125</xdr:rowOff>
    </xdr:to>
    <xdr:sp macro="" textlink="">
      <xdr:nvSpPr>
        <xdr:cNvPr id="4" name="Rectángulo: esquinas redondeadas 3">
          <a:extLst>
            <a:ext uri="{FF2B5EF4-FFF2-40B4-BE49-F238E27FC236}">
              <a16:creationId xmlns:a16="http://schemas.microsoft.com/office/drawing/2014/main" id="{CC9D62DC-8B8D-4150-957F-00C4756D0760}"/>
            </a:ext>
          </a:extLst>
        </xdr:cNvPr>
        <xdr:cNvSpPr/>
      </xdr:nvSpPr>
      <xdr:spPr>
        <a:xfrm>
          <a:off x="123824" y="173355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absolute">
    <xdr:from>
      <xdr:col>1</xdr:col>
      <xdr:colOff>3174</xdr:colOff>
      <xdr:row>17</xdr:row>
      <xdr:rowOff>19050</xdr:rowOff>
    </xdr:from>
    <xdr:to>
      <xdr:col>11</xdr:col>
      <xdr:colOff>421393</xdr:colOff>
      <xdr:row>18</xdr:row>
      <xdr:rowOff>73025</xdr:rowOff>
    </xdr:to>
    <xdr:sp macro="" textlink="">
      <xdr:nvSpPr>
        <xdr:cNvPr id="23" name="Rectángulo: esquinas redondeadas 22">
          <a:extLst>
            <a:ext uri="{FF2B5EF4-FFF2-40B4-BE49-F238E27FC236}">
              <a16:creationId xmlns:a16="http://schemas.microsoft.com/office/drawing/2014/main" id="{2C776923-3D21-41D8-8D38-C03943268F56}"/>
            </a:ext>
          </a:extLst>
        </xdr:cNvPr>
        <xdr:cNvSpPr/>
      </xdr:nvSpPr>
      <xdr:spPr>
        <a:xfrm>
          <a:off x="123824" y="35814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0</xdr:colOff>
      <xdr:row>39</xdr:row>
      <xdr:rowOff>0</xdr:rowOff>
    </xdr:from>
    <xdr:to>
      <xdr:col>11</xdr:col>
      <xdr:colOff>444500</xdr:colOff>
      <xdr:row>40</xdr:row>
      <xdr:rowOff>53975</xdr:rowOff>
    </xdr:to>
    <xdr:sp macro="" textlink="">
      <xdr:nvSpPr>
        <xdr:cNvPr id="24" name="Rectángulo: esquinas redondeadas 23">
          <a:extLst>
            <a:ext uri="{FF2B5EF4-FFF2-40B4-BE49-F238E27FC236}">
              <a16:creationId xmlns:a16="http://schemas.microsoft.com/office/drawing/2014/main" id="{0953C4DE-0C18-408B-922F-A628CD87DB7B}"/>
            </a:ext>
          </a:extLst>
        </xdr:cNvPr>
        <xdr:cNvSpPr/>
      </xdr:nvSpPr>
      <xdr:spPr>
        <a:xfrm>
          <a:off x="123825" y="9429750"/>
          <a:ext cx="13068300"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Ejercicio</a:t>
          </a:r>
        </a:p>
      </xdr:txBody>
    </xdr:sp>
    <xdr:clientData/>
  </xdr:twoCellAnchor>
  <xdr:twoCellAnchor editAs="oneCell">
    <xdr:from>
      <xdr:col>0</xdr:col>
      <xdr:colOff>95249</xdr:colOff>
      <xdr:row>42</xdr:row>
      <xdr:rowOff>190500</xdr:rowOff>
    </xdr:from>
    <xdr:to>
      <xdr:col>11</xdr:col>
      <xdr:colOff>479424</xdr:colOff>
      <xdr:row>45</xdr:row>
      <xdr:rowOff>73024</xdr:rowOff>
    </xdr:to>
    <xdr:sp macro="" textlink="">
      <xdr:nvSpPr>
        <xdr:cNvPr id="25" name="Rectángulo: esquinas redondeadas 24">
          <a:extLst>
            <a:ext uri="{FF2B5EF4-FFF2-40B4-BE49-F238E27FC236}">
              <a16:creationId xmlns:a16="http://schemas.microsoft.com/office/drawing/2014/main" id="{7AA82F66-DBE9-4F4F-B7D7-68170A81227B}"/>
            </a:ext>
          </a:extLst>
        </xdr:cNvPr>
        <xdr:cNvSpPr/>
      </xdr:nvSpPr>
      <xdr:spPr>
        <a:xfrm>
          <a:off x="95249" y="10458450"/>
          <a:ext cx="13128625" cy="50799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r>
            <a:rPr lang="en-US" sz="1000" b="1">
              <a:solidFill>
                <a:schemeClr val="tx1"/>
              </a:solidFill>
              <a:latin typeface="Montserrat" panose="00000500000000000000" pitchFamily="2" charset="0"/>
              <a:ea typeface="+mn-ea"/>
              <a:cs typeface="+mn-cs"/>
            </a:rPr>
            <a:t>Instrucciones: </a:t>
          </a:r>
          <a:r>
            <a:rPr lang="en-US" sz="1000" b="0">
              <a:solidFill>
                <a:schemeClr val="tx1"/>
              </a:solidFill>
              <a:latin typeface="Montserrat" panose="00000500000000000000" pitchFamily="2" charset="0"/>
              <a:ea typeface="+mn-ea"/>
              <a:cs typeface="+mn-cs"/>
            </a:rPr>
            <a:t>Obtén los</a:t>
          </a:r>
          <a:r>
            <a:rPr lang="en-US" sz="1000" b="0" baseline="0">
              <a:solidFill>
                <a:schemeClr val="tx1"/>
              </a:solidFill>
              <a:latin typeface="Montserrat" panose="00000500000000000000" pitchFamily="2" charset="0"/>
              <a:ea typeface="+mn-ea"/>
              <a:cs typeface="+mn-cs"/>
            </a:rPr>
            <a:t> regalos correspondientes según paquete (ahora con la función si.conjunto)</a:t>
          </a:r>
          <a:endParaRPr lang="en-US" sz="1000" b="0">
            <a:solidFill>
              <a:schemeClr val="tx1"/>
            </a:solidFill>
            <a:latin typeface="Montserrat" panose="00000500000000000000" pitchFamily="2" charset="0"/>
            <a:ea typeface="+mn-ea"/>
            <a:cs typeface="+mn-cs"/>
          </a:endParaRPr>
        </a:p>
      </xdr:txBody>
    </xdr:sp>
    <xdr:clientData/>
  </xdr:twoCellAnchor>
  <xdr:twoCellAnchor>
    <xdr:from>
      <xdr:col>1</xdr:col>
      <xdr:colOff>9524</xdr:colOff>
      <xdr:row>0</xdr:row>
      <xdr:rowOff>104775</xdr:rowOff>
    </xdr:from>
    <xdr:to>
      <xdr:col>13</xdr:col>
      <xdr:colOff>264584</xdr:colOff>
      <xdr:row>2</xdr:row>
      <xdr:rowOff>180975</xdr:rowOff>
    </xdr:to>
    <xdr:grpSp>
      <xdr:nvGrpSpPr>
        <xdr:cNvPr id="26" name="Grupo 25">
          <a:extLst>
            <a:ext uri="{FF2B5EF4-FFF2-40B4-BE49-F238E27FC236}">
              <a16:creationId xmlns:a16="http://schemas.microsoft.com/office/drawing/2014/main" id="{2B4CFC8D-0C63-4A65-B653-5B5BACA06F0F}"/>
            </a:ext>
          </a:extLst>
        </xdr:cNvPr>
        <xdr:cNvGrpSpPr/>
      </xdr:nvGrpSpPr>
      <xdr:grpSpPr>
        <a:xfrm>
          <a:off x="123824" y="104775"/>
          <a:ext cx="13475760" cy="438150"/>
          <a:chOff x="136524" y="104775"/>
          <a:chExt cx="13664143" cy="541867"/>
        </a:xfrm>
      </xdr:grpSpPr>
      <xdr:sp macro="" textlink="">
        <xdr:nvSpPr>
          <xdr:cNvPr id="27" name="Rectángulo: esquinas redondeadas 26">
            <a:extLst>
              <a:ext uri="{FF2B5EF4-FFF2-40B4-BE49-F238E27FC236}">
                <a16:creationId xmlns:a16="http://schemas.microsoft.com/office/drawing/2014/main" id="{70A60175-3D03-286F-278B-CBD0D718D554}"/>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8" name="CuadroTexto 27">
            <a:extLst>
              <a:ext uri="{FF2B5EF4-FFF2-40B4-BE49-F238E27FC236}">
                <a16:creationId xmlns:a16="http://schemas.microsoft.com/office/drawing/2014/main" id="{E098A14E-CB32-1997-A5BA-F770591B8EA9}"/>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SI.CONJUNTO</a:t>
            </a:r>
          </a:p>
        </xdr:txBody>
      </xdr:sp>
      <xdr:pic>
        <xdr:nvPicPr>
          <xdr:cNvPr id="30" name="Gráfico 29" descr="Circle with left arrow con relleno sólido">
            <a:hlinkClick xmlns:r="http://schemas.openxmlformats.org/officeDocument/2006/relationships" r:id="rId1"/>
            <a:extLst>
              <a:ext uri="{FF2B5EF4-FFF2-40B4-BE49-F238E27FC236}">
                <a16:creationId xmlns:a16="http://schemas.microsoft.com/office/drawing/2014/main" id="{0C8DEFA1-C163-54BB-D3B1-A64DCC91F4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168274</xdr:colOff>
      <xdr:row>0</xdr:row>
      <xdr:rowOff>104775</xdr:rowOff>
    </xdr:from>
    <xdr:to>
      <xdr:col>1</xdr:col>
      <xdr:colOff>645583</xdr:colOff>
      <xdr:row>2</xdr:row>
      <xdr:rowOff>169355</xdr:rowOff>
    </xdr:to>
    <xdr:pic>
      <xdr:nvPicPr>
        <xdr:cNvPr id="31" name="Gráfico 30" descr="Left Brain con relleno sólido">
          <a:extLst>
            <a:ext uri="{FF2B5EF4-FFF2-40B4-BE49-F238E27FC236}">
              <a16:creationId xmlns:a16="http://schemas.microsoft.com/office/drawing/2014/main" id="{5D4F929B-415C-4315-9510-E6C8662C337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95274" y="104775"/>
          <a:ext cx="477309" cy="478388"/>
        </a:xfrm>
        <a:prstGeom prst="rect">
          <a:avLst/>
        </a:prstGeom>
      </xdr:spPr>
    </xdr:pic>
    <xdr:clientData/>
  </xdr:twoCellAnchor>
  <xdr:twoCellAnchor editAs="oneCell">
    <xdr:from>
      <xdr:col>1</xdr:col>
      <xdr:colOff>0</xdr:colOff>
      <xdr:row>10</xdr:row>
      <xdr:rowOff>105832</xdr:rowOff>
    </xdr:from>
    <xdr:to>
      <xdr:col>9</xdr:col>
      <xdr:colOff>82249</xdr:colOff>
      <xdr:row>15</xdr:row>
      <xdr:rowOff>149603</xdr:rowOff>
    </xdr:to>
    <xdr:grpSp>
      <xdr:nvGrpSpPr>
        <xdr:cNvPr id="32" name="Grupo 31">
          <a:extLst>
            <a:ext uri="{FF2B5EF4-FFF2-40B4-BE49-F238E27FC236}">
              <a16:creationId xmlns:a16="http://schemas.microsoft.com/office/drawing/2014/main" id="{9DD3EB49-8A4D-42B6-BA45-EB81B60C34CB}"/>
            </a:ext>
          </a:extLst>
        </xdr:cNvPr>
        <xdr:cNvGrpSpPr/>
      </xdr:nvGrpSpPr>
      <xdr:grpSpPr>
        <a:xfrm>
          <a:off x="114300" y="1915582"/>
          <a:ext cx="9712024" cy="948646"/>
          <a:chOff x="257175" y="1764506"/>
          <a:chExt cx="11407966" cy="1092673"/>
        </a:xfrm>
      </xdr:grpSpPr>
      <xdr:grpSp>
        <xdr:nvGrpSpPr>
          <xdr:cNvPr id="33" name="Grupo 32">
            <a:extLst>
              <a:ext uri="{FF2B5EF4-FFF2-40B4-BE49-F238E27FC236}">
                <a16:creationId xmlns:a16="http://schemas.microsoft.com/office/drawing/2014/main" id="{4E9912D2-B973-AA8A-56D6-48B517D3A620}"/>
              </a:ext>
            </a:extLst>
          </xdr:cNvPr>
          <xdr:cNvGrpSpPr/>
        </xdr:nvGrpSpPr>
        <xdr:grpSpPr>
          <a:xfrm>
            <a:off x="257175" y="1764506"/>
            <a:ext cx="11407966" cy="357870"/>
            <a:chOff x="295275" y="923925"/>
            <a:chExt cx="11378041" cy="352427"/>
          </a:xfrm>
        </xdr:grpSpPr>
        <xdr:sp macro="" textlink="">
          <xdr:nvSpPr>
            <xdr:cNvPr id="42" name="Rectángulo: esquinas redondeadas 41">
              <a:extLst>
                <a:ext uri="{FF2B5EF4-FFF2-40B4-BE49-F238E27FC236}">
                  <a16:creationId xmlns:a16="http://schemas.microsoft.com/office/drawing/2014/main" id="{2D8CE032-3A51-B3F6-0FA6-1B48EC218ABF}"/>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3" name="Rectángulo: esquinas redondeadas 42">
              <a:extLst>
                <a:ext uri="{FF2B5EF4-FFF2-40B4-BE49-F238E27FC236}">
                  <a16:creationId xmlns:a16="http://schemas.microsoft.com/office/drawing/2014/main" id="{34F42226-E2DB-09DE-46EF-97C3E50DC9C7}"/>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900">
                  <a:solidFill>
                    <a:schemeClr val="bg1"/>
                  </a:solidFill>
                  <a:latin typeface="Montserrat" panose="00000500000000000000" pitchFamily="2" charset="0"/>
                  <a:ea typeface="+mn-ea"/>
                  <a:cs typeface="+mn-cs"/>
                </a:rPr>
                <a:t>SI.CONJUNTO</a:t>
              </a:r>
            </a:p>
          </xdr:txBody>
        </xdr:sp>
        <xdr:sp macro="" textlink="">
          <xdr:nvSpPr>
            <xdr:cNvPr id="44" name="Rectángulo: esquinas redondeadas 43">
              <a:extLst>
                <a:ext uri="{FF2B5EF4-FFF2-40B4-BE49-F238E27FC236}">
                  <a16:creationId xmlns:a16="http://schemas.microsoft.com/office/drawing/2014/main" id="{096A808F-BF55-C097-4EB4-50DB3933E0A9}"/>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5" name="Rectángulo: esquinas redondeadas 44">
              <a:extLst>
                <a:ext uri="{FF2B5EF4-FFF2-40B4-BE49-F238E27FC236}">
                  <a16:creationId xmlns:a16="http://schemas.microsoft.com/office/drawing/2014/main" id="{31982FE6-88C5-EF91-DA91-6DDF3FBFBBE7}"/>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Prueba</a:t>
              </a:r>
              <a:r>
                <a:rPr lang="en-US" sz="1000" baseline="0">
                  <a:solidFill>
                    <a:schemeClr val="tx1"/>
                  </a:solidFill>
                  <a:latin typeface="Montserrat" panose="00000500000000000000" pitchFamily="2" charset="0"/>
                  <a:ea typeface="+mn-ea"/>
                  <a:cs typeface="+mn-cs"/>
                </a:rPr>
                <a:t> Lógica 1</a:t>
              </a:r>
              <a:endParaRPr lang="en-US" sz="1000">
                <a:solidFill>
                  <a:schemeClr val="tx1"/>
                </a:solidFill>
                <a:latin typeface="Montserrat" panose="00000500000000000000" pitchFamily="2" charset="0"/>
                <a:ea typeface="+mn-ea"/>
                <a:cs typeface="+mn-cs"/>
              </a:endParaRPr>
            </a:p>
          </xdr:txBody>
        </xdr:sp>
        <xdr:sp macro="" textlink="">
          <xdr:nvSpPr>
            <xdr:cNvPr id="46" name="Rectángulo: esquinas redondeadas 45">
              <a:extLst>
                <a:ext uri="{FF2B5EF4-FFF2-40B4-BE49-F238E27FC236}">
                  <a16:creationId xmlns:a16="http://schemas.microsoft.com/office/drawing/2014/main" id="{48120886-0E0E-AEE4-1607-739650C033E5}"/>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Si Verdadero 1</a:t>
              </a:r>
            </a:p>
          </xdr:txBody>
        </xdr:sp>
        <xdr:sp macro="" textlink="">
          <xdr:nvSpPr>
            <xdr:cNvPr id="47" name="Rectángulo: esquinas redondeadas 46">
              <a:extLst>
                <a:ext uri="{FF2B5EF4-FFF2-40B4-BE49-F238E27FC236}">
                  <a16:creationId xmlns:a16="http://schemas.microsoft.com/office/drawing/2014/main" id="{0EC53DC5-72AD-4B6B-F4CC-4B02301EEBAB}"/>
                </a:ext>
              </a:extLst>
            </xdr:cNvPr>
            <xdr:cNvSpPr/>
          </xdr:nvSpPr>
          <xdr:spPr>
            <a:xfrm>
              <a:off x="6955786" y="923926"/>
              <a:ext cx="1980754"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[Prueba Lógica</a:t>
              </a:r>
              <a:r>
                <a:rPr lang="en-US" sz="1000" baseline="0">
                  <a:solidFill>
                    <a:schemeClr val="tx1"/>
                  </a:solidFill>
                  <a:latin typeface="Montserrat" panose="00000500000000000000" pitchFamily="2" charset="0"/>
                  <a:ea typeface="+mn-ea"/>
                  <a:cs typeface="+mn-cs"/>
                </a:rPr>
                <a:t> 2]...</a:t>
              </a:r>
              <a:endParaRPr lang="en-US" sz="1000">
                <a:solidFill>
                  <a:schemeClr val="tx1"/>
                </a:solidFill>
                <a:latin typeface="Montserrat" panose="00000500000000000000" pitchFamily="2" charset="0"/>
                <a:ea typeface="+mn-ea"/>
                <a:cs typeface="+mn-cs"/>
              </a:endParaRPr>
            </a:p>
          </xdr:txBody>
        </xdr:sp>
        <xdr:sp macro="" textlink="">
          <xdr:nvSpPr>
            <xdr:cNvPr id="48" name="Rectángulo: esquinas redondeadas 47">
              <a:extLst>
                <a:ext uri="{FF2B5EF4-FFF2-40B4-BE49-F238E27FC236}">
                  <a16:creationId xmlns:a16="http://schemas.microsoft.com/office/drawing/2014/main" id="{4CC2067D-43A2-BC88-915B-220935ACC601}"/>
                </a:ext>
              </a:extLst>
            </xdr:cNvPr>
            <xdr:cNvSpPr/>
          </xdr:nvSpPr>
          <xdr:spPr>
            <a:xfrm>
              <a:off x="11349588" y="923925"/>
              <a:ext cx="323728"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9" name="Rectángulo: esquinas redondeadas 48">
              <a:extLst>
                <a:ext uri="{FF2B5EF4-FFF2-40B4-BE49-F238E27FC236}">
                  <a16:creationId xmlns:a16="http://schemas.microsoft.com/office/drawing/2014/main" id="{0629AD74-8F1C-E111-D471-6E763FA62744}"/>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0" name="Rectángulo: esquinas redondeadas 49">
              <a:extLst>
                <a:ext uri="{FF2B5EF4-FFF2-40B4-BE49-F238E27FC236}">
                  <a16:creationId xmlns:a16="http://schemas.microsoft.com/office/drawing/2014/main" id="{93095E8D-9870-6EEB-8A35-89B28FB4EA19}"/>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1" name="Rectángulo: esquinas redondeadas 50">
              <a:extLst>
                <a:ext uri="{FF2B5EF4-FFF2-40B4-BE49-F238E27FC236}">
                  <a16:creationId xmlns:a16="http://schemas.microsoft.com/office/drawing/2014/main" id="{18B0E0AD-8E7B-15BB-1AE3-738682729BA9}"/>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a:t>
              </a:r>
              <a:r>
                <a:rPr lang="en-US" sz="1000" baseline="0">
                  <a:solidFill>
                    <a:schemeClr val="tx1"/>
                  </a:solidFill>
                  <a:latin typeface="Montserrat" panose="00000500000000000000" pitchFamily="2" charset="0"/>
                  <a:ea typeface="+mn-ea"/>
                  <a:cs typeface="+mn-cs"/>
                </a:rPr>
                <a:t> Si Verdadero 2]...</a:t>
              </a:r>
              <a:endParaRPr lang="en-US" sz="1000">
                <a:solidFill>
                  <a:schemeClr val="tx1"/>
                </a:solidFill>
                <a:latin typeface="Montserrat" panose="00000500000000000000" pitchFamily="2" charset="0"/>
                <a:ea typeface="+mn-ea"/>
                <a:cs typeface="+mn-cs"/>
              </a:endParaRPr>
            </a:p>
          </xdr:txBody>
        </xdr:sp>
        <xdr:sp macro="" textlink="">
          <xdr:nvSpPr>
            <xdr:cNvPr id="52" name="Rectángulo: esquinas redondeadas 51">
              <a:extLst>
                <a:ext uri="{FF2B5EF4-FFF2-40B4-BE49-F238E27FC236}">
                  <a16:creationId xmlns:a16="http://schemas.microsoft.com/office/drawing/2014/main" id="{2DEA8490-F058-EDD5-DA92-92C0F86F6F4E}"/>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34" name="Rectángulo: esquinas redondeadas 33">
            <a:extLst>
              <a:ext uri="{FF2B5EF4-FFF2-40B4-BE49-F238E27FC236}">
                <a16:creationId xmlns:a16="http://schemas.microsoft.com/office/drawing/2014/main" id="{69361027-0AC6-0EB5-FE5F-7EB5E012C8E5}"/>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la primera condición que quieres probar, la cual puede ser cualquier expresión que devuelva VERDADERO o FALSO.</a:t>
            </a:r>
          </a:p>
        </xdr:txBody>
      </xdr:sp>
      <xdr:pic>
        <xdr:nvPicPr>
          <xdr:cNvPr id="35" name="Gráfico 34" descr="Information con relleno sólido">
            <a:extLst>
              <a:ext uri="{FF2B5EF4-FFF2-40B4-BE49-F238E27FC236}">
                <a16:creationId xmlns:a16="http://schemas.microsoft.com/office/drawing/2014/main" id="{FBCC1BCA-196E-0CBA-238F-AEC43AC25C0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7708" y="2273754"/>
            <a:ext cx="161925" cy="161925"/>
          </a:xfrm>
          <a:prstGeom prst="rect">
            <a:avLst/>
          </a:prstGeom>
        </xdr:spPr>
      </xdr:pic>
      <xdr:sp macro="" textlink="">
        <xdr:nvSpPr>
          <xdr:cNvPr id="36" name="Rectángulo: esquinas redondeadas 35">
            <a:extLst>
              <a:ext uri="{FF2B5EF4-FFF2-40B4-BE49-F238E27FC236}">
                <a16:creationId xmlns:a16="http://schemas.microsoft.com/office/drawing/2014/main" id="{73D59C92-FD14-1326-6729-FE1462086E7E}"/>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se devolverá si prueba_lógica1 es VERDADERA.</a:t>
            </a:r>
          </a:p>
        </xdr:txBody>
      </xdr:sp>
      <xdr:pic>
        <xdr:nvPicPr>
          <xdr:cNvPr id="37" name="Gráfico 36" descr="Information con relleno sólido">
            <a:extLst>
              <a:ext uri="{FF2B5EF4-FFF2-40B4-BE49-F238E27FC236}">
                <a16:creationId xmlns:a16="http://schemas.microsoft.com/office/drawing/2014/main" id="{8EA47775-8ED7-B268-F744-3D38CE76C78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90383" y="2264229"/>
            <a:ext cx="161925" cy="161925"/>
          </a:xfrm>
          <a:prstGeom prst="rect">
            <a:avLst/>
          </a:prstGeom>
        </xdr:spPr>
      </xdr:pic>
      <xdr:sp macro="" textlink="">
        <xdr:nvSpPr>
          <xdr:cNvPr id="38" name="Rectángulo: esquinas redondeadas 37">
            <a:extLst>
              <a:ext uri="{FF2B5EF4-FFF2-40B4-BE49-F238E27FC236}">
                <a16:creationId xmlns:a16="http://schemas.microsoft.com/office/drawing/2014/main" id="{F9441845-8D37-093E-0076-D7D8FE34B302}"/>
              </a:ext>
            </a:extLst>
          </xdr:cNvPr>
          <xdr:cNvSpPr/>
        </xdr:nvSpPr>
        <xdr:spPr>
          <a:xfrm>
            <a:off x="6897652" y="2245179"/>
            <a:ext cx="4432411"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Pares adicionales de pruebas lógicas y valores que se devolverán. Puedes especificar hasta 127 pares en total. Excel evaluará cada condición en orden, y devolverá el valor correspondiente a la primera condición verdadera.</a:t>
            </a:r>
          </a:p>
        </xdr:txBody>
      </xdr:sp>
      <xdr:pic>
        <xdr:nvPicPr>
          <xdr:cNvPr id="39" name="Gráfico 38" descr="Information con relleno sólido">
            <a:extLst>
              <a:ext uri="{FF2B5EF4-FFF2-40B4-BE49-F238E27FC236}">
                <a16:creationId xmlns:a16="http://schemas.microsoft.com/office/drawing/2014/main" id="{D350656F-8311-5ECE-5CC2-89C52041FF6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38283" y="2254704"/>
            <a:ext cx="161925" cy="161925"/>
          </a:xfrm>
          <a:prstGeom prst="rect">
            <a:avLst/>
          </a:prstGeom>
        </xdr:spPr>
      </xdr:pic>
    </xdr:grpSp>
    <xdr:clientData/>
  </xdr:twoCellAnchor>
  <xdr:twoCellAnchor editAs="oneCell">
    <xdr:from>
      <xdr:col>1</xdr:col>
      <xdr:colOff>268817</xdr:colOff>
      <xdr:row>32</xdr:row>
      <xdr:rowOff>60326</xdr:rowOff>
    </xdr:from>
    <xdr:to>
      <xdr:col>6</xdr:col>
      <xdr:colOff>406863</xdr:colOff>
      <xdr:row>38</xdr:row>
      <xdr:rowOff>15985</xdr:rowOff>
    </xdr:to>
    <xdr:grpSp>
      <xdr:nvGrpSpPr>
        <xdr:cNvPr id="5" name="Grupo 4">
          <a:extLst>
            <a:ext uri="{FF2B5EF4-FFF2-40B4-BE49-F238E27FC236}">
              <a16:creationId xmlns:a16="http://schemas.microsoft.com/office/drawing/2014/main" id="{A6ABC01D-F38B-12BF-0D45-159DE1E1F9A3}"/>
            </a:ext>
          </a:extLst>
        </xdr:cNvPr>
        <xdr:cNvGrpSpPr/>
      </xdr:nvGrpSpPr>
      <xdr:grpSpPr>
        <a:xfrm>
          <a:off x="383117" y="5965826"/>
          <a:ext cx="6500746" cy="1041509"/>
          <a:chOff x="395817" y="10072159"/>
          <a:chExt cx="7306138" cy="1343134"/>
        </a:xfrm>
      </xdr:grpSpPr>
      <xdr:sp macro="" textlink="">
        <xdr:nvSpPr>
          <xdr:cNvPr id="54" name="Rectángulo: esquinas redondeadas 53">
            <a:extLst>
              <a:ext uri="{FF2B5EF4-FFF2-40B4-BE49-F238E27FC236}">
                <a16:creationId xmlns:a16="http://schemas.microsoft.com/office/drawing/2014/main" id="{1B4E892F-EA3B-95B8-8E18-C2E92D904A16}"/>
              </a:ext>
            </a:extLst>
          </xdr:cNvPr>
          <xdr:cNvSpPr/>
        </xdr:nvSpPr>
        <xdr:spPr>
          <a:xfrm>
            <a:off x="395817" y="10072937"/>
            <a:ext cx="1124103" cy="427457"/>
          </a:xfrm>
          <a:prstGeom prst="roundRect">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¿Esto sucede?</a:t>
            </a:r>
          </a:p>
        </xdr:txBody>
      </xdr:sp>
      <xdr:sp macro="" textlink="">
        <xdr:nvSpPr>
          <xdr:cNvPr id="55" name="Rectángulo: esquinas redondeadas 54">
            <a:extLst>
              <a:ext uri="{FF2B5EF4-FFF2-40B4-BE49-F238E27FC236}">
                <a16:creationId xmlns:a16="http://schemas.microsoft.com/office/drawing/2014/main" id="{A98CD0C4-E97C-E340-6A80-47A44C7C9EA6}"/>
              </a:ext>
            </a:extLst>
          </xdr:cNvPr>
          <xdr:cNvSpPr/>
        </xdr:nvSpPr>
        <xdr:spPr>
          <a:xfrm>
            <a:off x="2158237" y="10072159"/>
            <a:ext cx="1561210" cy="443552"/>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Entonces, haz esto...</a:t>
            </a:r>
          </a:p>
        </xdr:txBody>
      </xdr:sp>
      <xdr:sp macro="" textlink="">
        <xdr:nvSpPr>
          <xdr:cNvPr id="63" name="Rectángulo: esquinas redondeadas 62">
            <a:extLst>
              <a:ext uri="{FF2B5EF4-FFF2-40B4-BE49-F238E27FC236}">
                <a16:creationId xmlns:a16="http://schemas.microsoft.com/office/drawing/2014/main" id="{C247042A-CEDE-30C3-9ADE-796D129F1673}"/>
              </a:ext>
            </a:extLst>
          </xdr:cNvPr>
          <xdr:cNvSpPr/>
        </xdr:nvSpPr>
        <xdr:spPr>
          <a:xfrm>
            <a:off x="2730526" y="10968568"/>
            <a:ext cx="435949" cy="446725"/>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Fin</a:t>
            </a:r>
          </a:p>
        </xdr:txBody>
      </xdr:sp>
      <xdr:cxnSp macro="">
        <xdr:nvCxnSpPr>
          <xdr:cNvPr id="70" name="Conector recto de flecha 69">
            <a:extLst>
              <a:ext uri="{FF2B5EF4-FFF2-40B4-BE49-F238E27FC236}">
                <a16:creationId xmlns:a16="http://schemas.microsoft.com/office/drawing/2014/main" id="{69FD1CD7-8B27-CD56-2512-C26B486DF065}"/>
              </a:ext>
            </a:extLst>
          </xdr:cNvPr>
          <xdr:cNvCxnSpPr>
            <a:stCxn id="54" idx="3"/>
            <a:endCxn id="55" idx="1"/>
          </xdr:cNvCxnSpPr>
        </xdr:nvCxnSpPr>
        <xdr:spPr>
          <a:xfrm>
            <a:off x="1519920" y="10289841"/>
            <a:ext cx="641492" cy="56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xnSp macro="">
        <xdr:nvCxnSpPr>
          <xdr:cNvPr id="73" name="Conector recto de flecha 72">
            <a:extLst>
              <a:ext uri="{FF2B5EF4-FFF2-40B4-BE49-F238E27FC236}">
                <a16:creationId xmlns:a16="http://schemas.microsoft.com/office/drawing/2014/main" id="{6732476B-8636-078D-50D0-35EEF4614224}"/>
              </a:ext>
            </a:extLst>
          </xdr:cNvPr>
          <xdr:cNvCxnSpPr>
            <a:stCxn id="55" idx="2"/>
            <a:endCxn id="63" idx="0"/>
          </xdr:cNvCxnSpPr>
        </xdr:nvCxnSpPr>
        <xdr:spPr>
          <a:xfrm>
            <a:off x="2947309" y="10515711"/>
            <a:ext cx="2779" cy="45603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sp macro="" textlink="">
        <xdr:nvSpPr>
          <xdr:cNvPr id="75" name="Rectángulo: esquinas redondeadas 74">
            <a:extLst>
              <a:ext uri="{FF2B5EF4-FFF2-40B4-BE49-F238E27FC236}">
                <a16:creationId xmlns:a16="http://schemas.microsoft.com/office/drawing/2014/main" id="{23F6D78F-7011-4889-A235-5C8B596C44CB}"/>
              </a:ext>
            </a:extLst>
          </xdr:cNvPr>
          <xdr:cNvSpPr/>
        </xdr:nvSpPr>
        <xdr:spPr>
          <a:xfrm>
            <a:off x="4364567" y="10076112"/>
            <a:ext cx="1177019" cy="430632"/>
          </a:xfrm>
          <a:prstGeom prst="roundRect">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¿Esto sucede?</a:t>
            </a:r>
          </a:p>
        </xdr:txBody>
      </xdr:sp>
      <xdr:sp macro="" textlink="">
        <xdr:nvSpPr>
          <xdr:cNvPr id="76" name="Rectángulo: esquinas redondeadas 75">
            <a:extLst>
              <a:ext uri="{FF2B5EF4-FFF2-40B4-BE49-F238E27FC236}">
                <a16:creationId xmlns:a16="http://schemas.microsoft.com/office/drawing/2014/main" id="{8E7CC053-BAC7-4334-ACEB-0F4E74119620}"/>
              </a:ext>
            </a:extLst>
          </xdr:cNvPr>
          <xdr:cNvSpPr/>
        </xdr:nvSpPr>
        <xdr:spPr>
          <a:xfrm>
            <a:off x="6175670" y="10075334"/>
            <a:ext cx="1526285" cy="440377"/>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Entonces, haz esto...</a:t>
            </a:r>
          </a:p>
        </xdr:txBody>
      </xdr:sp>
      <xdr:sp macro="" textlink="">
        <xdr:nvSpPr>
          <xdr:cNvPr id="77" name="Rectángulo: esquinas redondeadas 76">
            <a:extLst>
              <a:ext uri="{FF2B5EF4-FFF2-40B4-BE49-F238E27FC236}">
                <a16:creationId xmlns:a16="http://schemas.microsoft.com/office/drawing/2014/main" id="{17C45338-53D1-4132-A270-D53EC1DCA3FA}"/>
              </a:ext>
            </a:extLst>
          </xdr:cNvPr>
          <xdr:cNvSpPr/>
        </xdr:nvSpPr>
        <xdr:spPr>
          <a:xfrm>
            <a:off x="6705626" y="10971743"/>
            <a:ext cx="478282" cy="443550"/>
          </a:xfrm>
          <a:prstGeom prst="roundRect">
            <a:avLst/>
          </a:prstGeom>
          <a:solidFill>
            <a:schemeClr val="tx1"/>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900" b="1">
                <a:latin typeface="Montserrat" panose="00000500000000000000" pitchFamily="2" charset="0"/>
              </a:rPr>
              <a:t>Fin</a:t>
            </a:r>
          </a:p>
        </xdr:txBody>
      </xdr:sp>
      <xdr:cxnSp macro="">
        <xdr:nvCxnSpPr>
          <xdr:cNvPr id="78" name="Conector recto de flecha 77">
            <a:extLst>
              <a:ext uri="{FF2B5EF4-FFF2-40B4-BE49-F238E27FC236}">
                <a16:creationId xmlns:a16="http://schemas.microsoft.com/office/drawing/2014/main" id="{72F77935-1E31-491E-98F1-25D422C5C60F}"/>
              </a:ext>
            </a:extLst>
          </xdr:cNvPr>
          <xdr:cNvCxnSpPr>
            <a:stCxn id="75" idx="3"/>
            <a:endCxn id="76" idx="1"/>
          </xdr:cNvCxnSpPr>
        </xdr:nvCxnSpPr>
        <xdr:spPr>
          <a:xfrm>
            <a:off x="5541586" y="10293016"/>
            <a:ext cx="630909"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xnSp macro="">
        <xdr:nvCxnSpPr>
          <xdr:cNvPr id="79" name="Conector recto de flecha 78">
            <a:extLst>
              <a:ext uri="{FF2B5EF4-FFF2-40B4-BE49-F238E27FC236}">
                <a16:creationId xmlns:a16="http://schemas.microsoft.com/office/drawing/2014/main" id="{ADC5D925-9298-4FFD-9DC2-215CDFB4CF7E}"/>
              </a:ext>
            </a:extLst>
          </xdr:cNvPr>
          <xdr:cNvCxnSpPr>
            <a:stCxn id="76" idx="2"/>
            <a:endCxn id="77" idx="0"/>
          </xdr:cNvCxnSpPr>
        </xdr:nvCxnSpPr>
        <xdr:spPr>
          <a:xfrm>
            <a:off x="6958392" y="10512536"/>
            <a:ext cx="0" cy="45603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xnSp macro="">
        <xdr:nvCxnSpPr>
          <xdr:cNvPr id="80" name="Conector recto de flecha 79">
            <a:extLst>
              <a:ext uri="{FF2B5EF4-FFF2-40B4-BE49-F238E27FC236}">
                <a16:creationId xmlns:a16="http://schemas.microsoft.com/office/drawing/2014/main" id="{7247BFA7-5556-41A5-B7FA-9A5D0AE5E3E2}"/>
              </a:ext>
            </a:extLst>
          </xdr:cNvPr>
          <xdr:cNvCxnSpPr>
            <a:stCxn id="55" idx="3"/>
            <a:endCxn id="75" idx="1"/>
          </xdr:cNvCxnSpPr>
        </xdr:nvCxnSpPr>
        <xdr:spPr>
          <a:xfrm flipV="1">
            <a:off x="3722622" y="10291429"/>
            <a:ext cx="641945" cy="409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grpSp>
    <xdr:clientData/>
  </xdr:twoCellAnchor>
</xdr:wsDr>
</file>

<file path=xl/drawings/drawing26.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9</xdr:col>
      <xdr:colOff>264760</xdr:colOff>
      <xdr:row>4</xdr:row>
      <xdr:rowOff>177800</xdr:rowOff>
    </xdr:to>
    <xdr:sp macro="" textlink="">
      <xdr:nvSpPr>
        <xdr:cNvPr id="2" name="Rectángulo: esquinas redondeadas 1">
          <a:extLst>
            <a:ext uri="{FF2B5EF4-FFF2-40B4-BE49-F238E27FC236}">
              <a16:creationId xmlns:a16="http://schemas.microsoft.com/office/drawing/2014/main" id="{EC76ABE2-88E1-4D6F-B7A5-86903D48E59F}"/>
            </a:ext>
          </a:extLst>
        </xdr:cNvPr>
        <xdr:cNvSpPr/>
      </xdr:nvSpPr>
      <xdr:spPr>
        <a:xfrm>
          <a:off x="126999" y="762000"/>
          <a:ext cx="13035669" cy="25400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21165</xdr:rowOff>
    </xdr:from>
    <xdr:to>
      <xdr:col>9</xdr:col>
      <xdr:colOff>301625</xdr:colOff>
      <xdr:row>8</xdr:row>
      <xdr:rowOff>16934</xdr:rowOff>
    </xdr:to>
    <xdr:sp macro="" textlink="">
      <xdr:nvSpPr>
        <xdr:cNvPr id="3" name="Rectángulo: esquinas redondeadas 2">
          <a:extLst>
            <a:ext uri="{FF2B5EF4-FFF2-40B4-BE49-F238E27FC236}">
              <a16:creationId xmlns:a16="http://schemas.microsoft.com/office/drawing/2014/main" id="{ECE3C76A-9D74-4F10-9D91-48EA2B100DCB}"/>
            </a:ext>
          </a:extLst>
        </xdr:cNvPr>
        <xdr:cNvSpPr/>
      </xdr:nvSpPr>
      <xdr:spPr>
        <a:xfrm>
          <a:off x="155573" y="1079498"/>
          <a:ext cx="13063010" cy="62441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#N/D (No Disponible)</a:t>
          </a:r>
        </a:p>
        <a:p>
          <a:pPr marL="0" indent="0" algn="l"/>
          <a:r>
            <a:rPr lang="en-US" sz="1000" b="0">
              <a:solidFill>
                <a:schemeClr val="tx1"/>
              </a:solidFill>
              <a:latin typeface="Montserrat" panose="00000500000000000000" pitchFamily="2" charset="0"/>
              <a:ea typeface="+mn-ea"/>
              <a:cs typeface="+mn-cs"/>
            </a:rPr>
            <a:t>Significa que un valor no está disponible para la función o fórmula. Ocurre comúnmente en funciones de búsqueda como BUSCARV o BUSCARH cuando el valor buscado no se encuentra en el rango de referencia.</a:t>
          </a:r>
        </a:p>
      </xdr:txBody>
    </xdr:sp>
    <xdr:clientData/>
  </xdr:twoCellAnchor>
  <xdr:twoCellAnchor editAs="absolute">
    <xdr:from>
      <xdr:col>1</xdr:col>
      <xdr:colOff>3174</xdr:colOff>
      <xdr:row>8</xdr:row>
      <xdr:rowOff>110067</xdr:rowOff>
    </xdr:from>
    <xdr:to>
      <xdr:col>9</xdr:col>
      <xdr:colOff>264760</xdr:colOff>
      <xdr:row>9</xdr:row>
      <xdr:rowOff>167217</xdr:rowOff>
    </xdr:to>
    <xdr:sp macro="" textlink="">
      <xdr:nvSpPr>
        <xdr:cNvPr id="4" name="Rectángulo: esquinas redondeadas 3">
          <a:extLst>
            <a:ext uri="{FF2B5EF4-FFF2-40B4-BE49-F238E27FC236}">
              <a16:creationId xmlns:a16="http://schemas.microsoft.com/office/drawing/2014/main" id="{E4DABCE7-0D04-4D72-9E86-5C625B4D5D91}"/>
            </a:ext>
          </a:extLst>
        </xdr:cNvPr>
        <xdr:cNvSpPr/>
      </xdr:nvSpPr>
      <xdr:spPr>
        <a:xfrm>
          <a:off x="123824" y="1803400"/>
          <a:ext cx="13057894" cy="25929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xdr:from>
      <xdr:col>1</xdr:col>
      <xdr:colOff>12699</xdr:colOff>
      <xdr:row>0</xdr:row>
      <xdr:rowOff>101600</xdr:rowOff>
    </xdr:from>
    <xdr:to>
      <xdr:col>13</xdr:col>
      <xdr:colOff>264584</xdr:colOff>
      <xdr:row>2</xdr:row>
      <xdr:rowOff>177800</xdr:rowOff>
    </xdr:to>
    <xdr:grpSp>
      <xdr:nvGrpSpPr>
        <xdr:cNvPr id="8" name="Grupo 7">
          <a:extLst>
            <a:ext uri="{FF2B5EF4-FFF2-40B4-BE49-F238E27FC236}">
              <a16:creationId xmlns:a16="http://schemas.microsoft.com/office/drawing/2014/main" id="{7F75D768-DFB0-4C2D-BB72-24C9A403992D}"/>
            </a:ext>
          </a:extLst>
        </xdr:cNvPr>
        <xdr:cNvGrpSpPr/>
      </xdr:nvGrpSpPr>
      <xdr:grpSpPr>
        <a:xfrm>
          <a:off x="129116" y="101600"/>
          <a:ext cx="15661218" cy="436033"/>
          <a:chOff x="136524" y="104775"/>
          <a:chExt cx="13664143" cy="541867"/>
        </a:xfrm>
      </xdr:grpSpPr>
      <xdr:sp macro="" textlink="">
        <xdr:nvSpPr>
          <xdr:cNvPr id="9" name="Rectángulo: esquinas redondeadas 8">
            <a:extLst>
              <a:ext uri="{FF2B5EF4-FFF2-40B4-BE49-F238E27FC236}">
                <a16:creationId xmlns:a16="http://schemas.microsoft.com/office/drawing/2014/main" id="{FB3930DA-3D1D-7766-5422-3A85ACB6BBAB}"/>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CuadroTexto 9">
            <a:extLst>
              <a:ext uri="{FF2B5EF4-FFF2-40B4-BE49-F238E27FC236}">
                <a16:creationId xmlns:a16="http://schemas.microsoft.com/office/drawing/2014/main" id="{3C43A2BA-1665-7B0A-D585-D7830068CAE6}"/>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CORRECCIÓN DE ERRORES</a:t>
            </a:r>
          </a:p>
        </xdr:txBody>
      </xdr:sp>
      <xdr:pic>
        <xdr:nvPicPr>
          <xdr:cNvPr id="11" name="Gráfico 10" descr="Circle with left arrow con relleno sólido">
            <a:hlinkClick xmlns:r="http://schemas.openxmlformats.org/officeDocument/2006/relationships" r:id="rId1"/>
            <a:extLst>
              <a:ext uri="{FF2B5EF4-FFF2-40B4-BE49-F238E27FC236}">
                <a16:creationId xmlns:a16="http://schemas.microsoft.com/office/drawing/2014/main" id="{44C5325F-D958-A29B-D7EC-AFFF168BF9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absolute">
    <xdr:from>
      <xdr:col>1</xdr:col>
      <xdr:colOff>15875</xdr:colOff>
      <xdr:row>25</xdr:row>
      <xdr:rowOff>98778</xdr:rowOff>
    </xdr:from>
    <xdr:to>
      <xdr:col>9</xdr:col>
      <xdr:colOff>264761</xdr:colOff>
      <xdr:row>26</xdr:row>
      <xdr:rowOff>134762</xdr:rowOff>
    </xdr:to>
    <xdr:sp macro="" textlink="">
      <xdr:nvSpPr>
        <xdr:cNvPr id="72" name="Rectángulo: esquinas redondeadas 71">
          <a:extLst>
            <a:ext uri="{FF2B5EF4-FFF2-40B4-BE49-F238E27FC236}">
              <a16:creationId xmlns:a16="http://schemas.microsoft.com/office/drawing/2014/main" id="{905A7CB2-79E4-4C1D-974A-B55FC53FD337}"/>
            </a:ext>
          </a:extLst>
        </xdr:cNvPr>
        <xdr:cNvSpPr/>
      </xdr:nvSpPr>
      <xdr:spPr>
        <a:xfrm>
          <a:off x="136525" y="5672667"/>
          <a:ext cx="13045194" cy="26246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34924</xdr:colOff>
      <xdr:row>26</xdr:row>
      <xdr:rowOff>177093</xdr:rowOff>
    </xdr:from>
    <xdr:to>
      <xdr:col>9</xdr:col>
      <xdr:colOff>301626</xdr:colOff>
      <xdr:row>29</xdr:row>
      <xdr:rowOff>115711</xdr:rowOff>
    </xdr:to>
    <xdr:sp macro="" textlink="">
      <xdr:nvSpPr>
        <xdr:cNvPr id="73" name="Rectángulo: esquinas redondeadas 72">
          <a:extLst>
            <a:ext uri="{FF2B5EF4-FFF2-40B4-BE49-F238E27FC236}">
              <a16:creationId xmlns:a16="http://schemas.microsoft.com/office/drawing/2014/main" id="{0BA39221-68D5-467B-9410-CD4E695C8A35}"/>
            </a:ext>
          </a:extLst>
        </xdr:cNvPr>
        <xdr:cNvSpPr/>
      </xdr:nvSpPr>
      <xdr:spPr>
        <a:xfrm>
          <a:off x="158749" y="5983815"/>
          <a:ext cx="13056660" cy="63076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#DIV/0! (División por Cero)</a:t>
          </a:r>
        </a:p>
        <a:p>
          <a:pPr marL="0" indent="0" algn="l"/>
          <a:r>
            <a:rPr lang="en-US" sz="1000" b="0">
              <a:solidFill>
                <a:schemeClr val="tx1"/>
              </a:solidFill>
              <a:latin typeface="Montserrat" panose="00000500000000000000" pitchFamily="2" charset="0"/>
              <a:ea typeface="+mn-ea"/>
              <a:cs typeface="+mn-cs"/>
            </a:rPr>
            <a:t>Se produce cuando una fórmula intenta dividir un número entre cero, lo cual es matemáticamente indefinido.</a:t>
          </a:r>
        </a:p>
      </xdr:txBody>
    </xdr:sp>
    <xdr:clientData/>
  </xdr:twoCellAnchor>
  <xdr:twoCellAnchor editAs="absolute">
    <xdr:from>
      <xdr:col>1</xdr:col>
      <xdr:colOff>0</xdr:colOff>
      <xdr:row>29</xdr:row>
      <xdr:rowOff>177094</xdr:rowOff>
    </xdr:from>
    <xdr:to>
      <xdr:col>9</xdr:col>
      <xdr:colOff>264761</xdr:colOff>
      <xdr:row>31</xdr:row>
      <xdr:rowOff>22226</xdr:rowOff>
    </xdr:to>
    <xdr:sp macro="" textlink="">
      <xdr:nvSpPr>
        <xdr:cNvPr id="74" name="Rectángulo: esquinas redondeadas 73">
          <a:extLst>
            <a:ext uri="{FF2B5EF4-FFF2-40B4-BE49-F238E27FC236}">
              <a16:creationId xmlns:a16="http://schemas.microsoft.com/office/drawing/2014/main" id="{B64442CB-F710-454B-9E00-B5603AEC9D78}"/>
            </a:ext>
          </a:extLst>
        </xdr:cNvPr>
        <xdr:cNvSpPr/>
      </xdr:nvSpPr>
      <xdr:spPr>
        <a:xfrm>
          <a:off x="127000" y="6701367"/>
          <a:ext cx="13051544" cy="27834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158750</xdr:colOff>
      <xdr:row>0</xdr:row>
      <xdr:rowOff>116416</xdr:rowOff>
    </xdr:from>
    <xdr:to>
      <xdr:col>1</xdr:col>
      <xdr:colOff>589492</xdr:colOff>
      <xdr:row>2</xdr:row>
      <xdr:rowOff>130175</xdr:rowOff>
    </xdr:to>
    <xdr:pic>
      <xdr:nvPicPr>
        <xdr:cNvPr id="91" name="Gráfico 90" descr="Bad Inventory con relleno sólido">
          <a:extLst>
            <a:ext uri="{FF2B5EF4-FFF2-40B4-BE49-F238E27FC236}">
              <a16:creationId xmlns:a16="http://schemas.microsoft.com/office/drawing/2014/main" id="{36BEFA3E-DD0E-4AFD-9742-1E2B2AAE698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85750" y="116416"/>
          <a:ext cx="430742" cy="430742"/>
        </a:xfrm>
        <a:prstGeom prst="rect">
          <a:avLst/>
        </a:prstGeom>
      </xdr:spPr>
    </xdr:pic>
    <xdr:clientData/>
  </xdr:twoCellAnchor>
  <xdr:twoCellAnchor editAs="absolute">
    <xdr:from>
      <xdr:col>1</xdr:col>
      <xdr:colOff>61382</xdr:colOff>
      <xdr:row>63</xdr:row>
      <xdr:rowOff>179211</xdr:rowOff>
    </xdr:from>
    <xdr:to>
      <xdr:col>9</xdr:col>
      <xdr:colOff>319793</xdr:colOff>
      <xdr:row>65</xdr:row>
      <xdr:rowOff>35984</xdr:rowOff>
    </xdr:to>
    <xdr:sp macro="" textlink="">
      <xdr:nvSpPr>
        <xdr:cNvPr id="5" name="Rectángulo: esquinas redondeadas 4">
          <a:extLst>
            <a:ext uri="{FF2B5EF4-FFF2-40B4-BE49-F238E27FC236}">
              <a16:creationId xmlns:a16="http://schemas.microsoft.com/office/drawing/2014/main" id="{9F216E8B-44EC-4820-83C3-14CC09010F12}"/>
            </a:ext>
          </a:extLst>
        </xdr:cNvPr>
        <xdr:cNvSpPr/>
      </xdr:nvSpPr>
      <xdr:spPr>
        <a:xfrm>
          <a:off x="188382" y="14555611"/>
          <a:ext cx="13548608" cy="279754"/>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80431</xdr:colOff>
      <xdr:row>65</xdr:row>
      <xdr:rowOff>91012</xdr:rowOff>
    </xdr:from>
    <xdr:to>
      <xdr:col>9</xdr:col>
      <xdr:colOff>347133</xdr:colOff>
      <xdr:row>69</xdr:row>
      <xdr:rowOff>36345</xdr:rowOff>
    </xdr:to>
    <xdr:sp macro="" textlink="">
      <xdr:nvSpPr>
        <xdr:cNvPr id="6" name="Rectángulo: esquinas redondeadas 5">
          <a:extLst>
            <a:ext uri="{FF2B5EF4-FFF2-40B4-BE49-F238E27FC236}">
              <a16:creationId xmlns:a16="http://schemas.microsoft.com/office/drawing/2014/main" id="{2FE82495-CB8E-469F-A22F-C575A53C6F33}"/>
            </a:ext>
          </a:extLst>
        </xdr:cNvPr>
        <xdr:cNvSpPr/>
      </xdr:nvSpPr>
      <xdr:spPr>
        <a:xfrm>
          <a:off x="207431" y="14893568"/>
          <a:ext cx="13566424" cy="845269"/>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Referencia Circular</a:t>
          </a:r>
        </a:p>
        <a:p>
          <a:pPr marL="0" indent="0" algn="l"/>
          <a:r>
            <a:rPr lang="en-US" sz="1000" b="0">
              <a:solidFill>
                <a:schemeClr val="tx1"/>
              </a:solidFill>
              <a:latin typeface="Montserrat" panose="00000500000000000000" pitchFamily="2" charset="0"/>
              <a:ea typeface="+mn-ea"/>
              <a:cs typeface="+mn-cs"/>
            </a:rPr>
            <a:t>Una referencia circular ocurre cuando una fórmula en Excel hace referencia a su propia celda, ya sea directamente o a través de una cadena de otras fórmulas. Esto crea un bucle sin fin, ya que para calcular su valor, la fórmula depende del resultado de sí misma. Excel no puede resolver este tipo de referencias, ya que implicaría un cálculo infinito, y por lo tanto, alerta al usuario sobre la presencia de una referencia circular.</a:t>
          </a:r>
        </a:p>
      </xdr:txBody>
    </xdr:sp>
    <xdr:clientData/>
  </xdr:twoCellAnchor>
  <xdr:twoCellAnchor editAs="absolute">
    <xdr:from>
      <xdr:col>1</xdr:col>
      <xdr:colOff>55032</xdr:colOff>
      <xdr:row>69</xdr:row>
      <xdr:rowOff>131235</xdr:rowOff>
    </xdr:from>
    <xdr:to>
      <xdr:col>9</xdr:col>
      <xdr:colOff>319793</xdr:colOff>
      <xdr:row>70</xdr:row>
      <xdr:rowOff>178861</xdr:rowOff>
    </xdr:to>
    <xdr:sp macro="" textlink="">
      <xdr:nvSpPr>
        <xdr:cNvPr id="7" name="Rectángulo: esquinas redondeadas 6">
          <a:extLst>
            <a:ext uri="{FF2B5EF4-FFF2-40B4-BE49-F238E27FC236}">
              <a16:creationId xmlns:a16="http://schemas.microsoft.com/office/drawing/2014/main" id="{3AC1C6DD-9547-4883-B2F0-D066B49ABD12}"/>
            </a:ext>
          </a:extLst>
        </xdr:cNvPr>
        <xdr:cNvSpPr/>
      </xdr:nvSpPr>
      <xdr:spPr>
        <a:xfrm>
          <a:off x="172507" y="15833727"/>
          <a:ext cx="13564483" cy="28292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absolute">
    <xdr:from>
      <xdr:col>0</xdr:col>
      <xdr:colOff>110067</xdr:colOff>
      <xdr:row>44</xdr:row>
      <xdr:rowOff>150636</xdr:rowOff>
    </xdr:from>
    <xdr:to>
      <xdr:col>9</xdr:col>
      <xdr:colOff>225603</xdr:colOff>
      <xdr:row>45</xdr:row>
      <xdr:rowOff>177095</xdr:rowOff>
    </xdr:to>
    <xdr:sp macro="" textlink="">
      <xdr:nvSpPr>
        <xdr:cNvPr id="12" name="Rectángulo: esquinas redondeadas 11">
          <a:extLst>
            <a:ext uri="{FF2B5EF4-FFF2-40B4-BE49-F238E27FC236}">
              <a16:creationId xmlns:a16="http://schemas.microsoft.com/office/drawing/2014/main" id="{06A0EEE3-97ED-49F8-9AF3-4E51B3159135}"/>
            </a:ext>
          </a:extLst>
        </xdr:cNvPr>
        <xdr:cNvSpPr/>
      </xdr:nvSpPr>
      <xdr:spPr>
        <a:xfrm>
          <a:off x="100542" y="10202333"/>
          <a:ext cx="13548608" cy="26176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2116</xdr:colOff>
      <xdr:row>46</xdr:row>
      <xdr:rowOff>15873</xdr:rowOff>
    </xdr:from>
    <xdr:to>
      <xdr:col>9</xdr:col>
      <xdr:colOff>265643</xdr:colOff>
      <xdr:row>48</xdr:row>
      <xdr:rowOff>167570</xdr:rowOff>
    </xdr:to>
    <xdr:sp macro="" textlink="">
      <xdr:nvSpPr>
        <xdr:cNvPr id="13" name="Rectángulo: esquinas redondeadas 12">
          <a:extLst>
            <a:ext uri="{FF2B5EF4-FFF2-40B4-BE49-F238E27FC236}">
              <a16:creationId xmlns:a16="http://schemas.microsoft.com/office/drawing/2014/main" id="{733F6D74-0708-4AC6-892E-A4A7BE8211D6}"/>
            </a:ext>
          </a:extLst>
        </xdr:cNvPr>
        <xdr:cNvSpPr/>
      </xdr:nvSpPr>
      <xdr:spPr>
        <a:xfrm>
          <a:off x="119591" y="10519126"/>
          <a:ext cx="13566424" cy="603252"/>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#NOMBRE?</a:t>
          </a:r>
          <a:r>
            <a:rPr lang="en-US" sz="1000" b="1" baseline="0">
              <a:solidFill>
                <a:schemeClr val="tx1"/>
              </a:solidFill>
              <a:latin typeface="Montserrat" panose="00000500000000000000" pitchFamily="2" charset="0"/>
              <a:ea typeface="+mn-ea"/>
              <a:cs typeface="+mn-cs"/>
            </a:rPr>
            <a:t> </a:t>
          </a:r>
          <a:r>
            <a:rPr lang="en-US" sz="1000" b="1">
              <a:solidFill>
                <a:schemeClr val="tx1"/>
              </a:solidFill>
              <a:latin typeface="Montserrat" panose="00000500000000000000" pitchFamily="2" charset="0"/>
              <a:ea typeface="+mn-ea"/>
              <a:cs typeface="+mn-cs"/>
            </a:rPr>
            <a:t>(Nombre erróneo)</a:t>
          </a:r>
        </a:p>
        <a:p>
          <a:pPr marL="0" indent="0" algn="l"/>
          <a:r>
            <a:rPr lang="en-US" sz="1000" b="0">
              <a:solidFill>
                <a:schemeClr val="tx1"/>
              </a:solidFill>
              <a:latin typeface="Montserrat" panose="00000500000000000000" pitchFamily="2" charset="0"/>
              <a:ea typeface="+mn-ea"/>
              <a:cs typeface="+mn-cs"/>
            </a:rPr>
            <a:t>Se produce cuando el</a:t>
          </a:r>
          <a:r>
            <a:rPr lang="en-US" sz="1000" b="0" baseline="0">
              <a:solidFill>
                <a:schemeClr val="tx1"/>
              </a:solidFill>
              <a:latin typeface="Montserrat" panose="00000500000000000000" pitchFamily="2" charset="0"/>
              <a:ea typeface="+mn-ea"/>
              <a:cs typeface="+mn-cs"/>
            </a:rPr>
            <a:t> nombre de una función está mal escrito.</a:t>
          </a:r>
          <a:endParaRPr lang="en-US" sz="1000" b="0">
            <a:solidFill>
              <a:schemeClr val="tx1"/>
            </a:solidFill>
            <a:latin typeface="Montserrat" panose="00000500000000000000" pitchFamily="2" charset="0"/>
            <a:ea typeface="+mn-ea"/>
            <a:cs typeface="+mn-cs"/>
          </a:endParaRPr>
        </a:p>
      </xdr:txBody>
    </xdr:sp>
    <xdr:clientData/>
  </xdr:twoCellAnchor>
  <xdr:twoCellAnchor editAs="absolute">
    <xdr:from>
      <xdr:col>0</xdr:col>
      <xdr:colOff>91017</xdr:colOff>
      <xdr:row>49</xdr:row>
      <xdr:rowOff>34925</xdr:rowOff>
    </xdr:from>
    <xdr:to>
      <xdr:col>9</xdr:col>
      <xdr:colOff>225603</xdr:colOff>
      <xdr:row>50</xdr:row>
      <xdr:rowOff>74084</xdr:rowOff>
    </xdr:to>
    <xdr:sp macro="" textlink="">
      <xdr:nvSpPr>
        <xdr:cNvPr id="14" name="Rectángulo: esquinas redondeadas 13">
          <a:extLst>
            <a:ext uri="{FF2B5EF4-FFF2-40B4-BE49-F238E27FC236}">
              <a16:creationId xmlns:a16="http://schemas.microsoft.com/office/drawing/2014/main" id="{33CA8303-D689-4D59-8B7E-E1A75A9B9162}"/>
            </a:ext>
          </a:extLst>
        </xdr:cNvPr>
        <xdr:cNvSpPr/>
      </xdr:nvSpPr>
      <xdr:spPr>
        <a:xfrm>
          <a:off x="84667" y="11215511"/>
          <a:ext cx="13564483" cy="26493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wsDr>
</file>

<file path=xl/drawings/drawing27.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13</xdr:col>
      <xdr:colOff>167393</xdr:colOff>
      <xdr:row>4</xdr:row>
      <xdr:rowOff>187325</xdr:rowOff>
    </xdr:to>
    <xdr:sp macro="" textlink="">
      <xdr:nvSpPr>
        <xdr:cNvPr id="2" name="Rectángulo: esquinas redondeadas 1">
          <a:extLst>
            <a:ext uri="{FF2B5EF4-FFF2-40B4-BE49-F238E27FC236}">
              <a16:creationId xmlns:a16="http://schemas.microsoft.com/office/drawing/2014/main" id="{E6802793-6483-43DE-B749-A62E5EEEC360}"/>
            </a:ext>
          </a:extLst>
        </xdr:cNvPr>
        <xdr:cNvSpPr/>
      </xdr:nvSpPr>
      <xdr:spPr>
        <a:xfrm>
          <a:off x="123824" y="7620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Explicación</a:t>
          </a:r>
        </a:p>
      </xdr:txBody>
    </xdr:sp>
    <xdr:clientData/>
  </xdr:twoCellAnchor>
  <xdr:twoCellAnchor editAs="absolute">
    <xdr:from>
      <xdr:col>1</xdr:col>
      <xdr:colOff>34923</xdr:colOff>
      <xdr:row>5</xdr:row>
      <xdr:rowOff>76199</xdr:rowOff>
    </xdr:from>
    <xdr:to>
      <xdr:col>13</xdr:col>
      <xdr:colOff>207433</xdr:colOff>
      <xdr:row>8</xdr:row>
      <xdr:rowOff>91016</xdr:rowOff>
    </xdr:to>
    <xdr:sp macro="" textlink="">
      <xdr:nvSpPr>
        <xdr:cNvPr id="3" name="Rectángulo: esquinas redondeadas 2">
          <a:extLst>
            <a:ext uri="{FF2B5EF4-FFF2-40B4-BE49-F238E27FC236}">
              <a16:creationId xmlns:a16="http://schemas.microsoft.com/office/drawing/2014/main" id="{81A5C63A-9534-4E05-9D76-BC9BCBDCEC6E}"/>
            </a:ext>
          </a:extLst>
        </xdr:cNvPr>
        <xdr:cNvSpPr/>
      </xdr:nvSpPr>
      <xdr:spPr>
        <a:xfrm>
          <a:off x="155573" y="1134532"/>
          <a:ext cx="13063010" cy="643467"/>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1">
              <a:solidFill>
                <a:schemeClr val="tx1"/>
              </a:solidFill>
              <a:latin typeface="Montserrat" panose="00000500000000000000" pitchFamily="2" charset="0"/>
              <a:ea typeface="+mn-ea"/>
              <a:cs typeface="+mn-cs"/>
            </a:rPr>
            <a:t>SI.ERROR (IFERROR en inglés) </a:t>
          </a:r>
          <a:r>
            <a:rPr lang="en-US" sz="1000" b="0">
              <a:solidFill>
                <a:schemeClr val="tx1"/>
              </a:solidFill>
              <a:latin typeface="Montserrat" panose="00000500000000000000" pitchFamily="2" charset="0"/>
              <a:ea typeface="+mn-ea"/>
              <a:cs typeface="+mn-cs"/>
            </a:rPr>
            <a:t>es una función en Excel diseñada para capturar errores en una fórmula y ofrecer una salida alternativa especificada por el usuario, en lugar de mostrar el error estándar de Excel. Esto es particularmente útil para mantener la limpieza y la claridad en tus hojas de cálculo, permitiéndote controlar la presentación de los datos incluso cuando ocurren errores inesperados en las fórmulas.</a:t>
          </a:r>
        </a:p>
      </xdr:txBody>
    </xdr:sp>
    <xdr:clientData/>
  </xdr:twoCellAnchor>
  <xdr:twoCellAnchor editAs="absolute">
    <xdr:from>
      <xdr:col>1</xdr:col>
      <xdr:colOff>3174</xdr:colOff>
      <xdr:row>8</xdr:row>
      <xdr:rowOff>173567</xdr:rowOff>
    </xdr:from>
    <xdr:to>
      <xdr:col>13</xdr:col>
      <xdr:colOff>167393</xdr:colOff>
      <xdr:row>10</xdr:row>
      <xdr:rowOff>15875</xdr:rowOff>
    </xdr:to>
    <xdr:sp macro="" textlink="">
      <xdr:nvSpPr>
        <xdr:cNvPr id="4" name="Rectángulo: esquinas redondeadas 3">
          <a:extLst>
            <a:ext uri="{FF2B5EF4-FFF2-40B4-BE49-F238E27FC236}">
              <a16:creationId xmlns:a16="http://schemas.microsoft.com/office/drawing/2014/main" id="{D1C10688-07DD-4584-8601-796FB7DF3266}"/>
            </a:ext>
          </a:extLst>
        </xdr:cNvPr>
        <xdr:cNvSpPr/>
      </xdr:nvSpPr>
      <xdr:spPr>
        <a:xfrm>
          <a:off x="126999" y="1866900"/>
          <a:ext cx="13051544" cy="256117"/>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absolute">
    <xdr:from>
      <xdr:col>1</xdr:col>
      <xdr:colOff>3174</xdr:colOff>
      <xdr:row>17</xdr:row>
      <xdr:rowOff>19050</xdr:rowOff>
    </xdr:from>
    <xdr:to>
      <xdr:col>13</xdr:col>
      <xdr:colOff>167393</xdr:colOff>
      <xdr:row>18</xdr:row>
      <xdr:rowOff>73025</xdr:rowOff>
    </xdr:to>
    <xdr:sp macro="" textlink="">
      <xdr:nvSpPr>
        <xdr:cNvPr id="23" name="Rectángulo: esquinas redondeadas 22">
          <a:extLst>
            <a:ext uri="{FF2B5EF4-FFF2-40B4-BE49-F238E27FC236}">
              <a16:creationId xmlns:a16="http://schemas.microsoft.com/office/drawing/2014/main" id="{ECDD9965-712F-4FF8-9737-09CE8D7895E7}"/>
            </a:ext>
          </a:extLst>
        </xdr:cNvPr>
        <xdr:cNvSpPr/>
      </xdr:nvSpPr>
      <xdr:spPr>
        <a:xfrm>
          <a:off x="123824" y="3581400"/>
          <a:ext cx="13042019" cy="2571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xdr:from>
      <xdr:col>1</xdr:col>
      <xdr:colOff>12699</xdr:colOff>
      <xdr:row>0</xdr:row>
      <xdr:rowOff>101600</xdr:rowOff>
    </xdr:from>
    <xdr:to>
      <xdr:col>13</xdr:col>
      <xdr:colOff>264584</xdr:colOff>
      <xdr:row>2</xdr:row>
      <xdr:rowOff>177800</xdr:rowOff>
    </xdr:to>
    <xdr:grpSp>
      <xdr:nvGrpSpPr>
        <xdr:cNvPr id="26" name="Grupo 25">
          <a:extLst>
            <a:ext uri="{FF2B5EF4-FFF2-40B4-BE49-F238E27FC236}">
              <a16:creationId xmlns:a16="http://schemas.microsoft.com/office/drawing/2014/main" id="{724FC7DC-4EF3-4E68-8F5A-D372AA258170}"/>
            </a:ext>
          </a:extLst>
        </xdr:cNvPr>
        <xdr:cNvGrpSpPr/>
      </xdr:nvGrpSpPr>
      <xdr:grpSpPr>
        <a:xfrm>
          <a:off x="129116" y="101600"/>
          <a:ext cx="12126385" cy="436033"/>
          <a:chOff x="136524" y="104775"/>
          <a:chExt cx="13664143" cy="541867"/>
        </a:xfrm>
      </xdr:grpSpPr>
      <xdr:sp macro="" textlink="">
        <xdr:nvSpPr>
          <xdr:cNvPr id="27" name="Rectángulo: esquinas redondeadas 26">
            <a:extLst>
              <a:ext uri="{FF2B5EF4-FFF2-40B4-BE49-F238E27FC236}">
                <a16:creationId xmlns:a16="http://schemas.microsoft.com/office/drawing/2014/main" id="{782151D3-0CB4-E9C7-3DD6-C804B139FDDD}"/>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8" name="CuadroTexto 27">
            <a:extLst>
              <a:ext uri="{FF2B5EF4-FFF2-40B4-BE49-F238E27FC236}">
                <a16:creationId xmlns:a16="http://schemas.microsoft.com/office/drawing/2014/main" id="{D6BA584D-C661-3F93-B827-0B912942E22F}"/>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SI.ERROR</a:t>
            </a:r>
          </a:p>
        </xdr:txBody>
      </xdr:sp>
      <xdr:pic>
        <xdr:nvPicPr>
          <xdr:cNvPr id="29" name="Gráfico 28" descr="Search Inventory con relleno sólido">
            <a:extLst>
              <a:ext uri="{FF2B5EF4-FFF2-40B4-BE49-F238E27FC236}">
                <a16:creationId xmlns:a16="http://schemas.microsoft.com/office/drawing/2014/main" id="{AE638859-C06E-B047-5BB3-99C135F2E2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500" y="133350"/>
            <a:ext cx="447675" cy="456142"/>
          </a:xfrm>
          <a:prstGeom prst="rect">
            <a:avLst/>
          </a:prstGeom>
        </xdr:spPr>
      </xdr:pic>
      <xdr:pic>
        <xdr:nvPicPr>
          <xdr:cNvPr id="30" name="Gráfico 29" descr="Circle with left arrow con relleno sólido">
            <a:hlinkClick xmlns:r="http://schemas.openxmlformats.org/officeDocument/2006/relationships" r:id="rId3"/>
            <a:extLst>
              <a:ext uri="{FF2B5EF4-FFF2-40B4-BE49-F238E27FC236}">
                <a16:creationId xmlns:a16="http://schemas.microsoft.com/office/drawing/2014/main" id="{0E5F8AF7-B389-7D15-D99A-93ED4511F87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13835" y="137584"/>
            <a:ext cx="465667" cy="465667"/>
          </a:xfrm>
          <a:prstGeom prst="rect">
            <a:avLst/>
          </a:prstGeom>
        </xdr:spPr>
      </xdr:pic>
    </xdr:grpSp>
    <xdr:clientData/>
  </xdr:twoCellAnchor>
  <xdr:twoCellAnchor editAs="oneCell">
    <xdr:from>
      <xdr:col>1</xdr:col>
      <xdr:colOff>28575</xdr:colOff>
      <xdr:row>11</xdr:row>
      <xdr:rowOff>21168</xdr:rowOff>
    </xdr:from>
    <xdr:to>
      <xdr:col>6</xdr:col>
      <xdr:colOff>817035</xdr:colOff>
      <xdr:row>16</xdr:row>
      <xdr:rowOff>137584</xdr:rowOff>
    </xdr:to>
    <xdr:grpSp>
      <xdr:nvGrpSpPr>
        <xdr:cNvPr id="31" name="Grupo 30">
          <a:extLst>
            <a:ext uri="{FF2B5EF4-FFF2-40B4-BE49-F238E27FC236}">
              <a16:creationId xmlns:a16="http://schemas.microsoft.com/office/drawing/2014/main" id="{39320B50-A9C7-4313-9158-3CFAE47AB771}"/>
            </a:ext>
          </a:extLst>
        </xdr:cNvPr>
        <xdr:cNvGrpSpPr/>
      </xdr:nvGrpSpPr>
      <xdr:grpSpPr>
        <a:xfrm>
          <a:off x="144992" y="2000251"/>
          <a:ext cx="5804960" cy="1016000"/>
          <a:chOff x="229961" y="3365726"/>
          <a:chExt cx="6800852" cy="1168006"/>
        </a:xfrm>
      </xdr:grpSpPr>
      <xdr:grpSp>
        <xdr:nvGrpSpPr>
          <xdr:cNvPr id="32" name="Grupo 31">
            <a:extLst>
              <a:ext uri="{FF2B5EF4-FFF2-40B4-BE49-F238E27FC236}">
                <a16:creationId xmlns:a16="http://schemas.microsoft.com/office/drawing/2014/main" id="{420C6CF6-4374-9AA4-2809-808BD1352F82}"/>
              </a:ext>
            </a:extLst>
          </xdr:cNvPr>
          <xdr:cNvGrpSpPr/>
        </xdr:nvGrpSpPr>
        <xdr:grpSpPr>
          <a:xfrm>
            <a:off x="229961" y="3365726"/>
            <a:ext cx="6800852" cy="355148"/>
            <a:chOff x="304800" y="1466850"/>
            <a:chExt cx="6781802" cy="352426"/>
          </a:xfrm>
        </xdr:grpSpPr>
        <xdr:sp macro="" textlink="">
          <xdr:nvSpPr>
            <xdr:cNvPr id="37" name="Rectángulo: esquinas redondeadas 36">
              <a:extLst>
                <a:ext uri="{FF2B5EF4-FFF2-40B4-BE49-F238E27FC236}">
                  <a16:creationId xmlns:a16="http://schemas.microsoft.com/office/drawing/2014/main" id="{6BF862CA-2F5D-E9C0-7838-CC2DA0AB737D}"/>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8" name="Rectángulo: esquinas redondeadas 37">
              <a:extLst>
                <a:ext uri="{FF2B5EF4-FFF2-40B4-BE49-F238E27FC236}">
                  <a16:creationId xmlns:a16="http://schemas.microsoft.com/office/drawing/2014/main" id="{14795283-8327-B0B7-00AE-2665245DA4CA}"/>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SI.ERROR</a:t>
              </a:r>
            </a:p>
          </xdr:txBody>
        </xdr:sp>
        <xdr:sp macro="" textlink="">
          <xdr:nvSpPr>
            <xdr:cNvPr id="39" name="Rectángulo: esquinas redondeadas 38">
              <a:extLst>
                <a:ext uri="{FF2B5EF4-FFF2-40B4-BE49-F238E27FC236}">
                  <a16:creationId xmlns:a16="http://schemas.microsoft.com/office/drawing/2014/main" id="{9D0F6AE0-FD42-C8DB-977C-BC6510B99560}"/>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0" name="Rectángulo: esquinas redondeadas 39">
              <a:extLst>
                <a:ext uri="{FF2B5EF4-FFF2-40B4-BE49-F238E27FC236}">
                  <a16:creationId xmlns:a16="http://schemas.microsoft.com/office/drawing/2014/main" id="{6BCCCE5C-8DB2-5498-0EF6-F2149B0CC113}"/>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a:t>
              </a:r>
            </a:p>
          </xdr:txBody>
        </xdr:sp>
        <xdr:sp macro="" textlink="">
          <xdr:nvSpPr>
            <xdr:cNvPr id="41" name="Rectángulo: esquinas redondeadas 40">
              <a:extLst>
                <a:ext uri="{FF2B5EF4-FFF2-40B4-BE49-F238E27FC236}">
                  <a16:creationId xmlns:a16="http://schemas.microsoft.com/office/drawing/2014/main" id="{72C2671D-B86C-6015-533A-F5DAFED16953}"/>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Valor Si Error</a:t>
              </a:r>
            </a:p>
          </xdr:txBody>
        </xdr:sp>
        <xdr:sp macro="" textlink="">
          <xdr:nvSpPr>
            <xdr:cNvPr id="42" name="Rectángulo: esquinas redondeadas 41">
              <a:extLst>
                <a:ext uri="{FF2B5EF4-FFF2-40B4-BE49-F238E27FC236}">
                  <a16:creationId xmlns:a16="http://schemas.microsoft.com/office/drawing/2014/main" id="{D4AD401B-9C5F-CB44-756B-60E0DE61A3FE}"/>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3" name="Rectángulo: esquinas redondeadas 42">
              <a:extLst>
                <a:ext uri="{FF2B5EF4-FFF2-40B4-BE49-F238E27FC236}">
                  <a16:creationId xmlns:a16="http://schemas.microsoft.com/office/drawing/2014/main" id="{D4BB9107-7081-72DC-4DC0-937289B5104A}"/>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33" name="Rectángulo: esquinas redondeadas 32">
            <a:extLst>
              <a:ext uri="{FF2B5EF4-FFF2-40B4-BE49-F238E27FC236}">
                <a16:creationId xmlns:a16="http://schemas.microsoft.com/office/drawing/2014/main" id="{BD4D25AF-47EF-19E0-5450-4B4C77736213}"/>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expresión o fórmula que Excel evaluará. Si esta evaluación resulta en un error (como #DIV/0!, #N/A, etc.), la función devolverá valor_si_error.</a:t>
            </a:r>
          </a:p>
        </xdr:txBody>
      </xdr:sp>
      <xdr:pic>
        <xdr:nvPicPr>
          <xdr:cNvPr id="34" name="Gráfico 33" descr="Information con relleno sólido">
            <a:extLst>
              <a:ext uri="{FF2B5EF4-FFF2-40B4-BE49-F238E27FC236}">
                <a16:creationId xmlns:a16="http://schemas.microsoft.com/office/drawing/2014/main" id="{855FB2CD-4A95-0044-2D0A-EAD6C465AF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6822" y="3882118"/>
            <a:ext cx="161925" cy="161925"/>
          </a:xfrm>
          <a:prstGeom prst="rect">
            <a:avLst/>
          </a:prstGeom>
        </xdr:spPr>
      </xdr:pic>
      <xdr:sp macro="" textlink="">
        <xdr:nvSpPr>
          <xdr:cNvPr id="35" name="Rectángulo: esquinas redondeadas 34">
            <a:extLst>
              <a:ext uri="{FF2B5EF4-FFF2-40B4-BE49-F238E27FC236}">
                <a16:creationId xmlns:a16="http://schemas.microsoft.com/office/drawing/2014/main" id="{A3E3D7CA-89AB-C476-7D78-FECA4073CC94}"/>
              </a:ext>
            </a:extLst>
          </xdr:cNvPr>
          <xdr:cNvSpPr/>
        </xdr:nvSpPr>
        <xdr:spPr>
          <a:xfrm>
            <a:off x="4641396" y="3853543"/>
            <a:ext cx="1980000" cy="680189"/>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valor que se devolverá si la evaluación de valor resulta en un error. Este puede ser un número, texto, una fecha, etc., dependiendo de lo que sea más apropiado para tu hoja de cálculo.</a:t>
            </a:r>
          </a:p>
        </xdr:txBody>
      </xdr:sp>
      <xdr:pic>
        <xdr:nvPicPr>
          <xdr:cNvPr id="36" name="Gráfico 35" descr="Information con relleno sólido">
            <a:extLst>
              <a:ext uri="{FF2B5EF4-FFF2-40B4-BE49-F238E27FC236}">
                <a16:creationId xmlns:a16="http://schemas.microsoft.com/office/drawing/2014/main" id="{19D4FD83-7418-E09B-9F1E-E5D7B1DAC6D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79497" y="3872593"/>
            <a:ext cx="161925" cy="161925"/>
          </a:xfrm>
          <a:prstGeom prst="rect">
            <a:avLst/>
          </a:prstGeom>
        </xdr:spPr>
      </xdr:pic>
    </xdr:grpSp>
    <xdr:clientData/>
  </xdr:twoCellAnchor>
</xdr:wsDr>
</file>

<file path=xl/drawings/drawing28.xml><?xml version="1.0" encoding="utf-8"?>
<xdr:wsDr xmlns:xdr="http://schemas.openxmlformats.org/drawingml/2006/spreadsheetDrawing" xmlns:a="http://schemas.openxmlformats.org/drawingml/2006/main">
  <xdr:twoCellAnchor editAs="absolute">
    <xdr:from>
      <xdr:col>1</xdr:col>
      <xdr:colOff>3174</xdr:colOff>
      <xdr:row>3</xdr:row>
      <xdr:rowOff>133350</xdr:rowOff>
    </xdr:from>
    <xdr:to>
      <xdr:col>15</xdr:col>
      <xdr:colOff>625604</xdr:colOff>
      <xdr:row>4</xdr:row>
      <xdr:rowOff>187325</xdr:rowOff>
    </xdr:to>
    <xdr:sp macro="" textlink="">
      <xdr:nvSpPr>
        <xdr:cNvPr id="2" name="Rectángulo: esquinas redondeadas 1">
          <a:extLst>
            <a:ext uri="{FF2B5EF4-FFF2-40B4-BE49-F238E27FC236}">
              <a16:creationId xmlns:a16="http://schemas.microsoft.com/office/drawing/2014/main" id="{5F90F645-71D6-4C88-A014-25ECC3F34600}"/>
            </a:ext>
          </a:extLst>
        </xdr:cNvPr>
        <xdr:cNvSpPr/>
      </xdr:nvSpPr>
      <xdr:spPr>
        <a:xfrm>
          <a:off x="130174" y="819150"/>
          <a:ext cx="13570480" cy="282575"/>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absolute">
    <xdr:from>
      <xdr:col>1</xdr:col>
      <xdr:colOff>16580</xdr:colOff>
      <xdr:row>11</xdr:row>
      <xdr:rowOff>39511</xdr:rowOff>
    </xdr:from>
    <xdr:to>
      <xdr:col>15</xdr:col>
      <xdr:colOff>645360</xdr:colOff>
      <xdr:row>12</xdr:row>
      <xdr:rowOff>96662</xdr:rowOff>
    </xdr:to>
    <xdr:sp macro="" textlink="">
      <xdr:nvSpPr>
        <xdr:cNvPr id="4" name="Rectángulo: esquinas redondeadas 3">
          <a:extLst>
            <a:ext uri="{FF2B5EF4-FFF2-40B4-BE49-F238E27FC236}">
              <a16:creationId xmlns:a16="http://schemas.microsoft.com/office/drawing/2014/main" id="{076996D3-19B0-45A4-9F22-9031421817FF}"/>
            </a:ext>
          </a:extLst>
        </xdr:cNvPr>
        <xdr:cNvSpPr/>
      </xdr:nvSpPr>
      <xdr:spPr>
        <a:xfrm>
          <a:off x="137230" y="2523067"/>
          <a:ext cx="13561308" cy="28292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xdr:from>
      <xdr:col>1</xdr:col>
      <xdr:colOff>15875</xdr:colOff>
      <xdr:row>0</xdr:row>
      <xdr:rowOff>107950</xdr:rowOff>
    </xdr:from>
    <xdr:to>
      <xdr:col>9</xdr:col>
      <xdr:colOff>317501</xdr:colOff>
      <xdr:row>2</xdr:row>
      <xdr:rowOff>184150</xdr:rowOff>
    </xdr:to>
    <xdr:grpSp>
      <xdr:nvGrpSpPr>
        <xdr:cNvPr id="5" name="Grupo 4">
          <a:extLst>
            <a:ext uri="{FF2B5EF4-FFF2-40B4-BE49-F238E27FC236}">
              <a16:creationId xmlns:a16="http://schemas.microsoft.com/office/drawing/2014/main" id="{04BF8F26-DE43-456A-A42D-6CBCCFF79060}"/>
            </a:ext>
          </a:extLst>
        </xdr:cNvPr>
        <xdr:cNvGrpSpPr/>
      </xdr:nvGrpSpPr>
      <xdr:grpSpPr>
        <a:xfrm>
          <a:off x="132292" y="107950"/>
          <a:ext cx="6461126" cy="436033"/>
          <a:chOff x="136524" y="104775"/>
          <a:chExt cx="13664143" cy="541867"/>
        </a:xfrm>
      </xdr:grpSpPr>
      <xdr:sp macro="" textlink="">
        <xdr:nvSpPr>
          <xdr:cNvPr id="6" name="Rectángulo: esquinas redondeadas 5">
            <a:extLst>
              <a:ext uri="{FF2B5EF4-FFF2-40B4-BE49-F238E27FC236}">
                <a16:creationId xmlns:a16="http://schemas.microsoft.com/office/drawing/2014/main" id="{8C83523D-ABCA-725D-9C2C-339FB4DE9D48}"/>
              </a:ext>
            </a:extLst>
          </xdr:cNvPr>
          <xdr:cNvSpPr/>
        </xdr:nvSpPr>
        <xdr:spPr>
          <a:xfrm>
            <a:off x="136524" y="104775"/>
            <a:ext cx="13664143" cy="541867"/>
          </a:xfrm>
          <a:prstGeom prst="roundRect">
            <a:avLst/>
          </a:prstGeom>
          <a:gradFill flip="none" rotWithShape="1">
            <a:gsLst>
              <a:gs pos="0">
                <a:schemeClr val="accent1">
                  <a:lumMod val="50000"/>
                </a:schemeClr>
              </a:gs>
              <a:gs pos="33000">
                <a:schemeClr val="tx2">
                  <a:lumMod val="90000"/>
                  <a:lumOff val="10000"/>
                </a:schemeClr>
              </a:gs>
              <a:gs pos="62000">
                <a:schemeClr val="tx2">
                  <a:lumMod val="75000"/>
                  <a:lumOff val="25000"/>
                </a:schemeClr>
              </a:gs>
              <a:gs pos="97744">
                <a:schemeClr val="accent4"/>
              </a:gs>
              <a:gs pos="86000">
                <a:schemeClr val="tx2">
                  <a:lumMod val="50000"/>
                  <a:lumOff val="50000"/>
                </a:schemeClr>
              </a:gs>
            </a:gsLst>
            <a:lin ang="0" scaled="1"/>
            <a:tileRect/>
          </a:gra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7" name="CuadroTexto 6">
            <a:extLst>
              <a:ext uri="{FF2B5EF4-FFF2-40B4-BE49-F238E27FC236}">
                <a16:creationId xmlns:a16="http://schemas.microsoft.com/office/drawing/2014/main" id="{13D0BD7E-F296-AE59-A68A-69AD254B711F}"/>
              </a:ext>
            </a:extLst>
          </xdr:cNvPr>
          <xdr:cNvSpPr txBox="1"/>
        </xdr:nvSpPr>
        <xdr:spPr>
          <a:xfrm>
            <a:off x="812799" y="142875"/>
            <a:ext cx="12511618" cy="48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chemeClr val="bg1"/>
                </a:solidFill>
                <a:latin typeface="Montserrat" panose="00000500000000000000" pitchFamily="2" charset="0"/>
              </a:rPr>
              <a:t>Funciones de texto 365</a:t>
            </a:r>
          </a:p>
        </xdr:txBody>
      </xdr:sp>
      <xdr:pic>
        <xdr:nvPicPr>
          <xdr:cNvPr id="8" name="Gráfico 7" descr="Circle with left arrow con relleno sólido">
            <a:hlinkClick xmlns:r="http://schemas.openxmlformats.org/officeDocument/2006/relationships" r:id="rId1"/>
            <a:extLst>
              <a:ext uri="{FF2B5EF4-FFF2-40B4-BE49-F238E27FC236}">
                <a16:creationId xmlns:a16="http://schemas.microsoft.com/office/drawing/2014/main" id="{5653C674-C794-0244-16BE-EC308A8AB2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313835" y="137584"/>
            <a:ext cx="465667" cy="465667"/>
          </a:xfrm>
          <a:prstGeom prst="rect">
            <a:avLst/>
          </a:prstGeom>
        </xdr:spPr>
      </xdr:pic>
    </xdr:grpSp>
    <xdr:clientData/>
  </xdr:twoCellAnchor>
  <xdr:twoCellAnchor editAs="oneCell">
    <xdr:from>
      <xdr:col>1</xdr:col>
      <xdr:colOff>158750</xdr:colOff>
      <xdr:row>0</xdr:row>
      <xdr:rowOff>116416</xdr:rowOff>
    </xdr:from>
    <xdr:to>
      <xdr:col>1</xdr:col>
      <xdr:colOff>589492</xdr:colOff>
      <xdr:row>2</xdr:row>
      <xdr:rowOff>130175</xdr:rowOff>
    </xdr:to>
    <xdr:pic>
      <xdr:nvPicPr>
        <xdr:cNvPr id="12" name="Gráfico 11" descr="Bad Inventory con relleno sólido">
          <a:extLst>
            <a:ext uri="{FF2B5EF4-FFF2-40B4-BE49-F238E27FC236}">
              <a16:creationId xmlns:a16="http://schemas.microsoft.com/office/drawing/2014/main" id="{81DB64CE-0AEA-41FA-9F4D-980DF41C915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88925" y="116416"/>
          <a:ext cx="427567" cy="470959"/>
        </a:xfrm>
        <a:prstGeom prst="rect">
          <a:avLst/>
        </a:prstGeom>
      </xdr:spPr>
    </xdr:pic>
    <xdr:clientData/>
  </xdr:twoCellAnchor>
  <xdr:twoCellAnchor editAs="oneCell">
    <xdr:from>
      <xdr:col>1</xdr:col>
      <xdr:colOff>35278</xdr:colOff>
      <xdr:row>5</xdr:row>
      <xdr:rowOff>169333</xdr:rowOff>
    </xdr:from>
    <xdr:to>
      <xdr:col>15</xdr:col>
      <xdr:colOff>473380</xdr:colOff>
      <xdr:row>10</xdr:row>
      <xdr:rowOff>211667</xdr:rowOff>
    </xdr:to>
    <xdr:grpSp>
      <xdr:nvGrpSpPr>
        <xdr:cNvPr id="63" name="Grupo 62">
          <a:extLst>
            <a:ext uri="{FF2B5EF4-FFF2-40B4-BE49-F238E27FC236}">
              <a16:creationId xmlns:a16="http://schemas.microsoft.com/office/drawing/2014/main" id="{01C3694C-9C7E-A1A0-DD2D-6E30E5D68049}"/>
            </a:ext>
          </a:extLst>
        </xdr:cNvPr>
        <xdr:cNvGrpSpPr/>
      </xdr:nvGrpSpPr>
      <xdr:grpSpPr>
        <a:xfrm>
          <a:off x="151695" y="1068916"/>
          <a:ext cx="11942185" cy="913343"/>
          <a:chOff x="162278" y="1320271"/>
          <a:chExt cx="13365515" cy="1194424"/>
        </a:xfrm>
      </xdr:grpSpPr>
      <xdr:sp macro="" textlink="">
        <xdr:nvSpPr>
          <xdr:cNvPr id="42" name="Rectángulo: esquinas redondeadas 41">
            <a:extLst>
              <a:ext uri="{FF2B5EF4-FFF2-40B4-BE49-F238E27FC236}">
                <a16:creationId xmlns:a16="http://schemas.microsoft.com/office/drawing/2014/main" id="{F7A7998F-F3F5-19B4-EE9F-4111FB5CA40A}"/>
              </a:ext>
            </a:extLst>
          </xdr:cNvPr>
          <xdr:cNvSpPr/>
        </xdr:nvSpPr>
        <xdr:spPr>
          <a:xfrm>
            <a:off x="162278" y="1320271"/>
            <a:ext cx="307255"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3" name="Rectángulo: esquinas redondeadas 42">
            <a:extLst>
              <a:ext uri="{FF2B5EF4-FFF2-40B4-BE49-F238E27FC236}">
                <a16:creationId xmlns:a16="http://schemas.microsoft.com/office/drawing/2014/main" id="{F5D19A4E-776F-67F0-C637-5A8AC317F502}"/>
              </a:ext>
            </a:extLst>
          </xdr:cNvPr>
          <xdr:cNvSpPr/>
        </xdr:nvSpPr>
        <xdr:spPr>
          <a:xfrm>
            <a:off x="538908" y="1320271"/>
            <a:ext cx="913885" cy="363570"/>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800">
                <a:solidFill>
                  <a:schemeClr val="bg1"/>
                </a:solidFill>
                <a:latin typeface="Montserrat" panose="00000500000000000000" pitchFamily="2" charset="0"/>
                <a:ea typeface="+mn-ea"/>
                <a:cs typeface="+mn-cs"/>
              </a:rPr>
              <a:t>TEXTOANTES</a:t>
            </a:r>
          </a:p>
        </xdr:txBody>
      </xdr:sp>
      <xdr:sp macro="" textlink="">
        <xdr:nvSpPr>
          <xdr:cNvPr id="44" name="Rectángulo: esquinas redondeadas 43">
            <a:extLst>
              <a:ext uri="{FF2B5EF4-FFF2-40B4-BE49-F238E27FC236}">
                <a16:creationId xmlns:a16="http://schemas.microsoft.com/office/drawing/2014/main" id="{D66DFA8E-246F-D43D-DD03-DFCFB3B7ADF3}"/>
              </a:ext>
            </a:extLst>
          </xdr:cNvPr>
          <xdr:cNvSpPr/>
        </xdr:nvSpPr>
        <xdr:spPr>
          <a:xfrm>
            <a:off x="1501590" y="1320271"/>
            <a:ext cx="267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5" name="Rectángulo: esquinas redondeadas 44">
            <a:extLst>
              <a:ext uri="{FF2B5EF4-FFF2-40B4-BE49-F238E27FC236}">
                <a16:creationId xmlns:a16="http://schemas.microsoft.com/office/drawing/2014/main" id="{76EE9C72-5E27-2916-650B-A88A0B8274C3}"/>
              </a:ext>
            </a:extLst>
          </xdr:cNvPr>
          <xdr:cNvSpPr/>
        </xdr:nvSpPr>
        <xdr:spPr>
          <a:xfrm>
            <a:off x="1856114" y="1320271"/>
            <a:ext cx="163505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a:t>
            </a:r>
          </a:p>
        </xdr:txBody>
      </xdr:sp>
      <xdr:sp macro="" textlink="">
        <xdr:nvSpPr>
          <xdr:cNvPr id="46" name="Rectángulo: esquinas redondeadas 45">
            <a:extLst>
              <a:ext uri="{FF2B5EF4-FFF2-40B4-BE49-F238E27FC236}">
                <a16:creationId xmlns:a16="http://schemas.microsoft.com/office/drawing/2014/main" id="{F1D529F3-148D-0CEB-F948-A62058C4E836}"/>
              </a:ext>
            </a:extLst>
          </xdr:cNvPr>
          <xdr:cNvSpPr/>
        </xdr:nvSpPr>
        <xdr:spPr>
          <a:xfrm>
            <a:off x="3805761" y="1320271"/>
            <a:ext cx="1635932"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Delimiter</a:t>
            </a:r>
          </a:p>
        </xdr:txBody>
      </xdr:sp>
      <xdr:sp macro="" textlink="">
        <xdr:nvSpPr>
          <xdr:cNvPr id="47" name="Rectángulo: esquinas redondeadas 46">
            <a:extLst>
              <a:ext uri="{FF2B5EF4-FFF2-40B4-BE49-F238E27FC236}">
                <a16:creationId xmlns:a16="http://schemas.microsoft.com/office/drawing/2014/main" id="{17B15855-F835-B034-6C1B-6EAA38101CEF}"/>
              </a:ext>
            </a:extLst>
          </xdr:cNvPr>
          <xdr:cNvSpPr/>
        </xdr:nvSpPr>
        <xdr:spPr>
          <a:xfrm>
            <a:off x="5671156" y="1320271"/>
            <a:ext cx="1642105"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[Instance</a:t>
            </a:r>
            <a:r>
              <a:rPr lang="en-US" sz="1000" baseline="0">
                <a:solidFill>
                  <a:schemeClr val="tx1"/>
                </a:solidFill>
                <a:latin typeface="Montserrat" panose="00000500000000000000" pitchFamily="2" charset="0"/>
                <a:ea typeface="+mn-ea"/>
                <a:cs typeface="+mn-cs"/>
              </a:rPr>
              <a:t> num]</a:t>
            </a:r>
            <a:endParaRPr lang="en-US" sz="1000">
              <a:solidFill>
                <a:schemeClr val="tx1"/>
              </a:solidFill>
              <a:latin typeface="Montserrat" panose="00000500000000000000" pitchFamily="2" charset="0"/>
              <a:ea typeface="+mn-ea"/>
              <a:cs typeface="+mn-cs"/>
            </a:endParaRPr>
          </a:p>
        </xdr:txBody>
      </xdr:sp>
      <xdr:sp macro="" textlink="">
        <xdr:nvSpPr>
          <xdr:cNvPr id="48" name="Rectángulo: esquinas redondeadas 47">
            <a:extLst>
              <a:ext uri="{FF2B5EF4-FFF2-40B4-BE49-F238E27FC236}">
                <a16:creationId xmlns:a16="http://schemas.microsoft.com/office/drawing/2014/main" id="{16547ADA-96A2-EDE4-72A7-3A7262B4F752}"/>
              </a:ext>
            </a:extLst>
          </xdr:cNvPr>
          <xdr:cNvSpPr/>
        </xdr:nvSpPr>
        <xdr:spPr>
          <a:xfrm>
            <a:off x="13256754" y="1354136"/>
            <a:ext cx="271039" cy="354045"/>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9" name="Rectángulo: esquinas redondeadas 48">
            <a:extLst>
              <a:ext uri="{FF2B5EF4-FFF2-40B4-BE49-F238E27FC236}">
                <a16:creationId xmlns:a16="http://schemas.microsoft.com/office/drawing/2014/main" id="{DB4E9D19-0007-724E-E91D-9D40A45B5B1B}"/>
              </a:ext>
            </a:extLst>
          </xdr:cNvPr>
          <xdr:cNvSpPr/>
        </xdr:nvSpPr>
        <xdr:spPr>
          <a:xfrm>
            <a:off x="3563062"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0" name="Rectángulo: esquinas redondeadas 49">
            <a:extLst>
              <a:ext uri="{FF2B5EF4-FFF2-40B4-BE49-F238E27FC236}">
                <a16:creationId xmlns:a16="http://schemas.microsoft.com/office/drawing/2014/main" id="{EFD478B1-1A2A-CEF1-D451-865F227770E0}"/>
              </a:ext>
            </a:extLst>
          </xdr:cNvPr>
          <xdr:cNvSpPr/>
        </xdr:nvSpPr>
        <xdr:spPr>
          <a:xfrm>
            <a:off x="5482077"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1" name="Rectángulo: esquinas redondeadas 50">
            <a:extLst>
              <a:ext uri="{FF2B5EF4-FFF2-40B4-BE49-F238E27FC236}">
                <a16:creationId xmlns:a16="http://schemas.microsoft.com/office/drawing/2014/main" id="{A62068E5-5D3C-B776-CF89-4419DD7C48E2}"/>
              </a:ext>
            </a:extLst>
          </xdr:cNvPr>
          <xdr:cNvSpPr/>
        </xdr:nvSpPr>
        <xdr:spPr>
          <a:xfrm>
            <a:off x="7618333" y="1320271"/>
            <a:ext cx="1639813"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[match mode]</a:t>
            </a:r>
          </a:p>
        </xdr:txBody>
      </xdr:sp>
      <xdr:sp macro="" textlink="">
        <xdr:nvSpPr>
          <xdr:cNvPr id="52" name="Rectángulo: esquinas redondeadas 51">
            <a:extLst>
              <a:ext uri="{FF2B5EF4-FFF2-40B4-BE49-F238E27FC236}">
                <a16:creationId xmlns:a16="http://schemas.microsoft.com/office/drawing/2014/main" id="{E803FA2C-9DED-C7F0-A925-25A868F68573}"/>
              </a:ext>
            </a:extLst>
          </xdr:cNvPr>
          <xdr:cNvSpPr/>
        </xdr:nvSpPr>
        <xdr:spPr>
          <a:xfrm>
            <a:off x="7385158" y="1320271"/>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4" name="Rectángulo: esquinas redondeadas 33">
            <a:extLst>
              <a:ext uri="{FF2B5EF4-FFF2-40B4-BE49-F238E27FC236}">
                <a16:creationId xmlns:a16="http://schemas.microsoft.com/office/drawing/2014/main" id="{C5C2A9DB-8944-1690-563C-28BBA99B6AE4}"/>
              </a:ext>
            </a:extLst>
          </xdr:cNvPr>
          <xdr:cNvSpPr/>
        </xdr:nvSpPr>
        <xdr:spPr>
          <a:xfrm>
            <a:off x="1846044" y="1801311"/>
            <a:ext cx="1636003"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texto en el que está buscando. No se permiten caracteres comodín. Si el texto es una cadena vacía, Excel devuelve texto vacío. </a:t>
            </a:r>
          </a:p>
        </xdr:txBody>
      </xdr:sp>
      <xdr:pic>
        <xdr:nvPicPr>
          <xdr:cNvPr id="35" name="Gráfico 34" descr="Information con relleno sólido">
            <a:extLst>
              <a:ext uri="{FF2B5EF4-FFF2-40B4-BE49-F238E27FC236}">
                <a16:creationId xmlns:a16="http://schemas.microsoft.com/office/drawing/2014/main" id="{F98F950D-11A3-6F27-F0EB-9A2DB4667B1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77455" y="1835733"/>
            <a:ext cx="133490" cy="157136"/>
          </a:xfrm>
          <a:prstGeom prst="rect">
            <a:avLst/>
          </a:prstGeom>
        </xdr:spPr>
      </xdr:pic>
      <xdr:sp macro="" textlink="">
        <xdr:nvSpPr>
          <xdr:cNvPr id="36" name="Rectángulo: esquinas redondeadas 35">
            <a:extLst>
              <a:ext uri="{FF2B5EF4-FFF2-40B4-BE49-F238E27FC236}">
                <a16:creationId xmlns:a16="http://schemas.microsoft.com/office/drawing/2014/main" id="{68B20D48-46DD-3AB9-8295-48B23EE81C0B}"/>
              </a:ext>
            </a:extLst>
          </xdr:cNvPr>
          <xdr:cNvSpPr/>
        </xdr:nvSpPr>
        <xdr:spPr>
          <a:xfrm>
            <a:off x="3789278" y="1801311"/>
            <a:ext cx="1630534"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Texto que marca el punto antes del que desea extraer.</a:t>
            </a:r>
          </a:p>
        </xdr:txBody>
      </xdr:sp>
      <xdr:pic>
        <xdr:nvPicPr>
          <xdr:cNvPr id="37" name="Gráfico 36" descr="Information con relleno sólido">
            <a:extLst>
              <a:ext uri="{FF2B5EF4-FFF2-40B4-BE49-F238E27FC236}">
                <a16:creationId xmlns:a16="http://schemas.microsoft.com/office/drawing/2014/main" id="{6B06C43C-2330-FE92-C914-76E41DC95F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814338" y="1820026"/>
            <a:ext cx="133490" cy="169836"/>
          </a:xfrm>
          <a:prstGeom prst="rect">
            <a:avLst/>
          </a:prstGeom>
        </xdr:spPr>
      </xdr:pic>
      <xdr:sp macro="" textlink="">
        <xdr:nvSpPr>
          <xdr:cNvPr id="38" name="Rectángulo: esquinas redondeadas 37">
            <a:extLst>
              <a:ext uri="{FF2B5EF4-FFF2-40B4-BE49-F238E27FC236}">
                <a16:creationId xmlns:a16="http://schemas.microsoft.com/office/drawing/2014/main" id="{85D1DC6D-F82A-875D-36F9-4586DB474CA8}"/>
              </a:ext>
            </a:extLst>
          </xdr:cNvPr>
          <xdr:cNvSpPr/>
        </xdr:nvSpPr>
        <xdr:spPr>
          <a:xfrm>
            <a:off x="5634317" y="1801311"/>
            <a:ext cx="1639882"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instancia del delimitador después de la cual quiere extraer el texto.   De forma predeterminada, instance_num = 1.  </a:t>
            </a:r>
          </a:p>
        </xdr:txBody>
      </xdr:sp>
      <xdr:pic>
        <xdr:nvPicPr>
          <xdr:cNvPr id="39" name="Gráfico 38" descr="Information con relleno sólido">
            <a:extLst>
              <a:ext uri="{FF2B5EF4-FFF2-40B4-BE49-F238E27FC236}">
                <a16:creationId xmlns:a16="http://schemas.microsoft.com/office/drawing/2014/main" id="{43D0FB8B-54A7-0626-E1F8-6B8A6E5A068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672077" y="1817018"/>
            <a:ext cx="133490" cy="157136"/>
          </a:xfrm>
          <a:prstGeom prst="rect">
            <a:avLst/>
          </a:prstGeom>
        </xdr:spPr>
      </xdr:pic>
      <xdr:sp macro="" textlink="">
        <xdr:nvSpPr>
          <xdr:cNvPr id="40" name="Rectángulo: esquinas redondeadas 39">
            <a:extLst>
              <a:ext uri="{FF2B5EF4-FFF2-40B4-BE49-F238E27FC236}">
                <a16:creationId xmlns:a16="http://schemas.microsoft.com/office/drawing/2014/main" id="{4B0AA6BA-9C63-25D3-484B-8DC023BC7405}"/>
              </a:ext>
            </a:extLst>
          </xdr:cNvPr>
          <xdr:cNvSpPr/>
        </xdr:nvSpPr>
        <xdr:spPr>
          <a:xfrm>
            <a:off x="7655271" y="1817353"/>
            <a:ext cx="1637590" cy="697342"/>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Determina si la búsqueda de texto distingue mayúsculas de minúsculas. El valor predeterminado distingue mayúsculas de minúsculas. </a:t>
            </a:r>
          </a:p>
        </xdr:txBody>
      </xdr:sp>
      <xdr:pic>
        <xdr:nvPicPr>
          <xdr:cNvPr id="41" name="Gráfico 40" descr="Information con relleno sólido">
            <a:extLst>
              <a:ext uri="{FF2B5EF4-FFF2-40B4-BE49-F238E27FC236}">
                <a16:creationId xmlns:a16="http://schemas.microsoft.com/office/drawing/2014/main" id="{EF62B243-0C88-4128-76C6-E0631F8CA20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680332" y="1833061"/>
            <a:ext cx="133490" cy="157136"/>
          </a:xfrm>
          <a:prstGeom prst="rect">
            <a:avLst/>
          </a:prstGeom>
        </xdr:spPr>
      </xdr:pic>
      <xdr:sp macro="" textlink="">
        <xdr:nvSpPr>
          <xdr:cNvPr id="54" name="Rectángulo: esquinas redondeadas 53">
            <a:extLst>
              <a:ext uri="{FF2B5EF4-FFF2-40B4-BE49-F238E27FC236}">
                <a16:creationId xmlns:a16="http://schemas.microsoft.com/office/drawing/2014/main" id="{9C310A66-FE66-42AF-B14F-F74493BFDDE0}"/>
              </a:ext>
            </a:extLst>
          </xdr:cNvPr>
          <xdr:cNvSpPr/>
        </xdr:nvSpPr>
        <xdr:spPr>
          <a:xfrm>
            <a:off x="9561413" y="1333676"/>
            <a:ext cx="164528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[match end]</a:t>
            </a:r>
          </a:p>
        </xdr:txBody>
      </xdr:sp>
      <xdr:sp macro="" textlink="">
        <xdr:nvSpPr>
          <xdr:cNvPr id="55" name="Rectángulo: esquinas redondeadas 54">
            <a:extLst>
              <a:ext uri="{FF2B5EF4-FFF2-40B4-BE49-F238E27FC236}">
                <a16:creationId xmlns:a16="http://schemas.microsoft.com/office/drawing/2014/main" id="{2193E194-6B43-42CB-887A-9E1F4396F7B6}"/>
              </a:ext>
            </a:extLst>
          </xdr:cNvPr>
          <xdr:cNvSpPr/>
        </xdr:nvSpPr>
        <xdr:spPr>
          <a:xfrm>
            <a:off x="9372334" y="1333676"/>
            <a:ext cx="152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6" name="Rectángulo: esquinas redondeadas 55">
            <a:extLst>
              <a:ext uri="{FF2B5EF4-FFF2-40B4-BE49-F238E27FC236}">
                <a16:creationId xmlns:a16="http://schemas.microsoft.com/office/drawing/2014/main" id="{ED9A4472-4AF8-467B-B982-1833FC27B7BE}"/>
              </a:ext>
            </a:extLst>
          </xdr:cNvPr>
          <xdr:cNvSpPr/>
        </xdr:nvSpPr>
        <xdr:spPr>
          <a:xfrm>
            <a:off x="11508591" y="1333676"/>
            <a:ext cx="1635579"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[if not found]</a:t>
            </a:r>
          </a:p>
        </xdr:txBody>
      </xdr:sp>
      <xdr:sp macro="" textlink="">
        <xdr:nvSpPr>
          <xdr:cNvPr id="57" name="Rectángulo: esquinas redondeadas 56">
            <a:extLst>
              <a:ext uri="{FF2B5EF4-FFF2-40B4-BE49-F238E27FC236}">
                <a16:creationId xmlns:a16="http://schemas.microsoft.com/office/drawing/2014/main" id="{8FB3110E-7534-47BB-BC6C-2A1FC1639115}"/>
              </a:ext>
            </a:extLst>
          </xdr:cNvPr>
          <xdr:cNvSpPr/>
        </xdr:nvSpPr>
        <xdr:spPr>
          <a:xfrm>
            <a:off x="11275416" y="1333676"/>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8" name="Rectángulo: esquinas redondeadas 57">
            <a:extLst>
              <a:ext uri="{FF2B5EF4-FFF2-40B4-BE49-F238E27FC236}">
                <a16:creationId xmlns:a16="http://schemas.microsoft.com/office/drawing/2014/main" id="{8CBDAF0E-D68A-4363-9F2D-C2A609CA2EF5}"/>
              </a:ext>
            </a:extLst>
          </xdr:cNvPr>
          <xdr:cNvSpPr/>
        </xdr:nvSpPr>
        <xdr:spPr>
          <a:xfrm>
            <a:off x="9524574" y="1811541"/>
            <a:ext cx="1643058"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Trata el final del texto como delimitador. De forma predeterminada, el texto es una coincidencia exacta.</a:t>
            </a:r>
          </a:p>
        </xdr:txBody>
      </xdr:sp>
      <xdr:pic>
        <xdr:nvPicPr>
          <xdr:cNvPr id="59" name="Gráfico 58" descr="Information con relleno sólido">
            <a:extLst>
              <a:ext uri="{FF2B5EF4-FFF2-40B4-BE49-F238E27FC236}">
                <a16:creationId xmlns:a16="http://schemas.microsoft.com/office/drawing/2014/main" id="{18A4CB4D-A71A-4295-B810-F928D71B2F5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562334" y="1830423"/>
            <a:ext cx="136665" cy="153961"/>
          </a:xfrm>
          <a:prstGeom prst="rect">
            <a:avLst/>
          </a:prstGeom>
        </xdr:spPr>
      </xdr:pic>
      <xdr:sp macro="" textlink="">
        <xdr:nvSpPr>
          <xdr:cNvPr id="60" name="Rectángulo: esquinas redondeadas 59">
            <a:extLst>
              <a:ext uri="{FF2B5EF4-FFF2-40B4-BE49-F238E27FC236}">
                <a16:creationId xmlns:a16="http://schemas.microsoft.com/office/drawing/2014/main" id="{87E8A18E-E888-4EB7-88BE-CFF4E64A45A3}"/>
              </a:ext>
            </a:extLst>
          </xdr:cNvPr>
          <xdr:cNvSpPr/>
        </xdr:nvSpPr>
        <xdr:spPr>
          <a:xfrm>
            <a:off x="11545529" y="1830759"/>
            <a:ext cx="1636531" cy="60811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Valor devuelto si no se encuentra ninguna coincidencia. De forma predeterminada, se devuelve #N/A. Opcional.</a:t>
            </a:r>
          </a:p>
        </xdr:txBody>
      </xdr:sp>
      <xdr:pic>
        <xdr:nvPicPr>
          <xdr:cNvPr id="61" name="Gráfico 60" descr="Information con relleno sólido">
            <a:extLst>
              <a:ext uri="{FF2B5EF4-FFF2-40B4-BE49-F238E27FC236}">
                <a16:creationId xmlns:a16="http://schemas.microsoft.com/office/drawing/2014/main" id="{05FC5C3E-7384-4CBF-BF2F-4A528B8ED5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567415" y="1854050"/>
            <a:ext cx="133490" cy="143202"/>
          </a:xfrm>
          <a:prstGeom prst="rect">
            <a:avLst/>
          </a:prstGeom>
        </xdr:spPr>
      </xdr:pic>
    </xdr:grpSp>
    <xdr:clientData/>
  </xdr:twoCellAnchor>
  <xdr:twoCellAnchor editAs="absolute">
    <xdr:from>
      <xdr:col>1</xdr:col>
      <xdr:colOff>0</xdr:colOff>
      <xdr:row>31</xdr:row>
      <xdr:rowOff>0</xdr:rowOff>
    </xdr:from>
    <xdr:to>
      <xdr:col>15</xdr:col>
      <xdr:colOff>625605</xdr:colOff>
      <xdr:row>32</xdr:row>
      <xdr:rowOff>53975</xdr:rowOff>
    </xdr:to>
    <xdr:sp macro="" textlink="">
      <xdr:nvSpPr>
        <xdr:cNvPr id="64" name="Rectángulo: esquinas redondeadas 63">
          <a:extLst>
            <a:ext uri="{FF2B5EF4-FFF2-40B4-BE49-F238E27FC236}">
              <a16:creationId xmlns:a16="http://schemas.microsoft.com/office/drawing/2014/main" id="{CB194C65-5BCC-4F18-86F8-F0B4BB0DDD1F}"/>
            </a:ext>
          </a:extLst>
        </xdr:cNvPr>
        <xdr:cNvSpPr/>
      </xdr:nvSpPr>
      <xdr:spPr>
        <a:xfrm>
          <a:off x="127000" y="7135813"/>
          <a:ext cx="13565718" cy="28416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absolute">
    <xdr:from>
      <xdr:col>1</xdr:col>
      <xdr:colOff>16581</xdr:colOff>
      <xdr:row>38</xdr:row>
      <xdr:rowOff>136349</xdr:rowOff>
    </xdr:from>
    <xdr:to>
      <xdr:col>15</xdr:col>
      <xdr:colOff>645361</xdr:colOff>
      <xdr:row>39</xdr:row>
      <xdr:rowOff>193499</xdr:rowOff>
    </xdr:to>
    <xdr:sp macro="" textlink="">
      <xdr:nvSpPr>
        <xdr:cNvPr id="65" name="Rectángulo: esquinas redondeadas 64">
          <a:extLst>
            <a:ext uri="{FF2B5EF4-FFF2-40B4-BE49-F238E27FC236}">
              <a16:creationId xmlns:a16="http://schemas.microsoft.com/office/drawing/2014/main" id="{0DC15600-F234-4DFC-959D-604BA7FD978A}"/>
            </a:ext>
          </a:extLst>
        </xdr:cNvPr>
        <xdr:cNvSpPr/>
      </xdr:nvSpPr>
      <xdr:spPr>
        <a:xfrm>
          <a:off x="140406" y="8883474"/>
          <a:ext cx="13565718" cy="28733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32104</xdr:colOff>
      <xdr:row>33</xdr:row>
      <xdr:rowOff>35983</xdr:rowOff>
    </xdr:from>
    <xdr:to>
      <xdr:col>15</xdr:col>
      <xdr:colOff>473381</xdr:colOff>
      <xdr:row>38</xdr:row>
      <xdr:rowOff>3649</xdr:rowOff>
    </xdr:to>
    <xdr:grpSp>
      <xdr:nvGrpSpPr>
        <xdr:cNvPr id="66" name="Grupo 65">
          <a:extLst>
            <a:ext uri="{FF2B5EF4-FFF2-40B4-BE49-F238E27FC236}">
              <a16:creationId xmlns:a16="http://schemas.microsoft.com/office/drawing/2014/main" id="{0E32E415-9D86-42E1-AB9C-017E671AD0C3}"/>
            </a:ext>
          </a:extLst>
        </xdr:cNvPr>
        <xdr:cNvGrpSpPr/>
      </xdr:nvGrpSpPr>
      <xdr:grpSpPr>
        <a:xfrm>
          <a:off x="148521" y="5994400"/>
          <a:ext cx="11945360" cy="867249"/>
          <a:chOff x="162278" y="1320271"/>
          <a:chExt cx="13365515" cy="1118603"/>
        </a:xfrm>
      </xdr:grpSpPr>
      <xdr:sp macro="" textlink="">
        <xdr:nvSpPr>
          <xdr:cNvPr id="67" name="Rectángulo: esquinas redondeadas 66">
            <a:extLst>
              <a:ext uri="{FF2B5EF4-FFF2-40B4-BE49-F238E27FC236}">
                <a16:creationId xmlns:a16="http://schemas.microsoft.com/office/drawing/2014/main" id="{57F66515-9A8F-BA0A-092B-CCBD06E90CC3}"/>
              </a:ext>
            </a:extLst>
          </xdr:cNvPr>
          <xdr:cNvSpPr/>
        </xdr:nvSpPr>
        <xdr:spPr>
          <a:xfrm>
            <a:off x="162278" y="1320271"/>
            <a:ext cx="307255"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68" name="Rectángulo: esquinas redondeadas 67">
            <a:extLst>
              <a:ext uri="{FF2B5EF4-FFF2-40B4-BE49-F238E27FC236}">
                <a16:creationId xmlns:a16="http://schemas.microsoft.com/office/drawing/2014/main" id="{E403F99E-A9B8-AAA2-8692-4572B60D8B63}"/>
              </a:ext>
            </a:extLst>
          </xdr:cNvPr>
          <xdr:cNvSpPr/>
        </xdr:nvSpPr>
        <xdr:spPr>
          <a:xfrm>
            <a:off x="538908" y="1320271"/>
            <a:ext cx="913885" cy="363570"/>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600">
                <a:solidFill>
                  <a:schemeClr val="bg1"/>
                </a:solidFill>
                <a:latin typeface="Montserrat" panose="00000500000000000000" pitchFamily="2" charset="0"/>
                <a:ea typeface="+mn-ea"/>
                <a:cs typeface="+mn-cs"/>
              </a:rPr>
              <a:t>TEXTODESPUES</a:t>
            </a:r>
          </a:p>
        </xdr:txBody>
      </xdr:sp>
      <xdr:sp macro="" textlink="">
        <xdr:nvSpPr>
          <xdr:cNvPr id="69" name="Rectángulo: esquinas redondeadas 68">
            <a:extLst>
              <a:ext uri="{FF2B5EF4-FFF2-40B4-BE49-F238E27FC236}">
                <a16:creationId xmlns:a16="http://schemas.microsoft.com/office/drawing/2014/main" id="{451FE14C-CA8B-79BD-2B95-CA40EBEB576C}"/>
              </a:ext>
            </a:extLst>
          </xdr:cNvPr>
          <xdr:cNvSpPr/>
        </xdr:nvSpPr>
        <xdr:spPr>
          <a:xfrm>
            <a:off x="1501590" y="1320271"/>
            <a:ext cx="267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0" name="Rectángulo: esquinas redondeadas 69">
            <a:extLst>
              <a:ext uri="{FF2B5EF4-FFF2-40B4-BE49-F238E27FC236}">
                <a16:creationId xmlns:a16="http://schemas.microsoft.com/office/drawing/2014/main" id="{597C34B9-091D-204B-9B17-C8DAF997652E}"/>
              </a:ext>
            </a:extLst>
          </xdr:cNvPr>
          <xdr:cNvSpPr/>
        </xdr:nvSpPr>
        <xdr:spPr>
          <a:xfrm>
            <a:off x="1856114" y="1320271"/>
            <a:ext cx="163505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a:t>
            </a:r>
          </a:p>
        </xdr:txBody>
      </xdr:sp>
      <xdr:sp macro="" textlink="">
        <xdr:nvSpPr>
          <xdr:cNvPr id="71" name="Rectángulo: esquinas redondeadas 70">
            <a:extLst>
              <a:ext uri="{FF2B5EF4-FFF2-40B4-BE49-F238E27FC236}">
                <a16:creationId xmlns:a16="http://schemas.microsoft.com/office/drawing/2014/main" id="{BC7CC07F-A1FC-781E-A50E-9C12A8BA23CB}"/>
              </a:ext>
            </a:extLst>
          </xdr:cNvPr>
          <xdr:cNvSpPr/>
        </xdr:nvSpPr>
        <xdr:spPr>
          <a:xfrm>
            <a:off x="3805761" y="1320271"/>
            <a:ext cx="1635932"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Delimiter</a:t>
            </a:r>
          </a:p>
        </xdr:txBody>
      </xdr:sp>
      <xdr:sp macro="" textlink="">
        <xdr:nvSpPr>
          <xdr:cNvPr id="72" name="Rectángulo: esquinas redondeadas 71">
            <a:extLst>
              <a:ext uri="{FF2B5EF4-FFF2-40B4-BE49-F238E27FC236}">
                <a16:creationId xmlns:a16="http://schemas.microsoft.com/office/drawing/2014/main" id="{63024B39-7B55-0A06-DD74-6D561D0931E1}"/>
              </a:ext>
            </a:extLst>
          </xdr:cNvPr>
          <xdr:cNvSpPr/>
        </xdr:nvSpPr>
        <xdr:spPr>
          <a:xfrm>
            <a:off x="5671156" y="1320271"/>
            <a:ext cx="1642105"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[Instance</a:t>
            </a:r>
            <a:r>
              <a:rPr lang="en-US" sz="1000" baseline="0">
                <a:solidFill>
                  <a:schemeClr val="tx1"/>
                </a:solidFill>
                <a:latin typeface="Montserrat" panose="00000500000000000000" pitchFamily="2" charset="0"/>
                <a:ea typeface="+mn-ea"/>
                <a:cs typeface="+mn-cs"/>
              </a:rPr>
              <a:t> num]</a:t>
            </a:r>
            <a:endParaRPr lang="en-US" sz="1000">
              <a:solidFill>
                <a:schemeClr val="tx1"/>
              </a:solidFill>
              <a:latin typeface="Montserrat" panose="00000500000000000000" pitchFamily="2" charset="0"/>
              <a:ea typeface="+mn-ea"/>
              <a:cs typeface="+mn-cs"/>
            </a:endParaRPr>
          </a:p>
        </xdr:txBody>
      </xdr:sp>
      <xdr:sp macro="" textlink="">
        <xdr:nvSpPr>
          <xdr:cNvPr id="73" name="Rectángulo: esquinas redondeadas 72">
            <a:extLst>
              <a:ext uri="{FF2B5EF4-FFF2-40B4-BE49-F238E27FC236}">
                <a16:creationId xmlns:a16="http://schemas.microsoft.com/office/drawing/2014/main" id="{CDAC64FC-C3E0-3047-8261-62DD3E14D908}"/>
              </a:ext>
            </a:extLst>
          </xdr:cNvPr>
          <xdr:cNvSpPr/>
        </xdr:nvSpPr>
        <xdr:spPr>
          <a:xfrm>
            <a:off x="13256754" y="1354136"/>
            <a:ext cx="271039" cy="354045"/>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4" name="Rectángulo: esquinas redondeadas 73">
            <a:extLst>
              <a:ext uri="{FF2B5EF4-FFF2-40B4-BE49-F238E27FC236}">
                <a16:creationId xmlns:a16="http://schemas.microsoft.com/office/drawing/2014/main" id="{475F73C0-6AC1-E62A-A0AF-0F6B2CB688F7}"/>
              </a:ext>
            </a:extLst>
          </xdr:cNvPr>
          <xdr:cNvSpPr/>
        </xdr:nvSpPr>
        <xdr:spPr>
          <a:xfrm>
            <a:off x="3563062"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5" name="Rectángulo: esquinas redondeadas 74">
            <a:extLst>
              <a:ext uri="{FF2B5EF4-FFF2-40B4-BE49-F238E27FC236}">
                <a16:creationId xmlns:a16="http://schemas.microsoft.com/office/drawing/2014/main" id="{8A6CD874-0C39-26E2-E186-5C464F4109EF}"/>
              </a:ext>
            </a:extLst>
          </xdr:cNvPr>
          <xdr:cNvSpPr/>
        </xdr:nvSpPr>
        <xdr:spPr>
          <a:xfrm>
            <a:off x="5482077"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6" name="Rectángulo: esquinas redondeadas 75">
            <a:extLst>
              <a:ext uri="{FF2B5EF4-FFF2-40B4-BE49-F238E27FC236}">
                <a16:creationId xmlns:a16="http://schemas.microsoft.com/office/drawing/2014/main" id="{665EBE21-3CF5-4706-F9C5-A156F003FF96}"/>
              </a:ext>
            </a:extLst>
          </xdr:cNvPr>
          <xdr:cNvSpPr/>
        </xdr:nvSpPr>
        <xdr:spPr>
          <a:xfrm>
            <a:off x="7618333" y="1320271"/>
            <a:ext cx="1639813"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[match mode]</a:t>
            </a:r>
          </a:p>
        </xdr:txBody>
      </xdr:sp>
      <xdr:sp macro="" textlink="">
        <xdr:nvSpPr>
          <xdr:cNvPr id="77" name="Rectángulo: esquinas redondeadas 76">
            <a:extLst>
              <a:ext uri="{FF2B5EF4-FFF2-40B4-BE49-F238E27FC236}">
                <a16:creationId xmlns:a16="http://schemas.microsoft.com/office/drawing/2014/main" id="{6DB1ACCB-4DE6-9A56-DC29-12593A773E21}"/>
              </a:ext>
            </a:extLst>
          </xdr:cNvPr>
          <xdr:cNvSpPr/>
        </xdr:nvSpPr>
        <xdr:spPr>
          <a:xfrm>
            <a:off x="7385158" y="1320271"/>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78" name="Rectángulo: esquinas redondeadas 77">
            <a:extLst>
              <a:ext uri="{FF2B5EF4-FFF2-40B4-BE49-F238E27FC236}">
                <a16:creationId xmlns:a16="http://schemas.microsoft.com/office/drawing/2014/main" id="{E03374F3-CA41-5EE9-F913-316527E53150}"/>
              </a:ext>
            </a:extLst>
          </xdr:cNvPr>
          <xdr:cNvSpPr/>
        </xdr:nvSpPr>
        <xdr:spPr>
          <a:xfrm>
            <a:off x="1846044" y="1801311"/>
            <a:ext cx="1636003"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texto en el que está buscando. No se permiten caracteres comodín. Si el texto es una cadena vacía, Excel devuelve texto vacío. </a:t>
            </a:r>
          </a:p>
        </xdr:txBody>
      </xdr:sp>
      <xdr:pic>
        <xdr:nvPicPr>
          <xdr:cNvPr id="79" name="Gráfico 78" descr="Information con relleno sólido">
            <a:extLst>
              <a:ext uri="{FF2B5EF4-FFF2-40B4-BE49-F238E27FC236}">
                <a16:creationId xmlns:a16="http://schemas.microsoft.com/office/drawing/2014/main" id="{60C3D1A6-EBAA-9AB4-C4E9-7BB2EC19356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77455" y="1835733"/>
            <a:ext cx="133490" cy="157136"/>
          </a:xfrm>
          <a:prstGeom prst="rect">
            <a:avLst/>
          </a:prstGeom>
        </xdr:spPr>
      </xdr:pic>
      <xdr:sp macro="" textlink="">
        <xdr:nvSpPr>
          <xdr:cNvPr id="80" name="Rectángulo: esquinas redondeadas 79">
            <a:extLst>
              <a:ext uri="{FF2B5EF4-FFF2-40B4-BE49-F238E27FC236}">
                <a16:creationId xmlns:a16="http://schemas.microsoft.com/office/drawing/2014/main" id="{659ED411-B98C-3747-5D26-7C60AC4E44B6}"/>
              </a:ext>
            </a:extLst>
          </xdr:cNvPr>
          <xdr:cNvSpPr/>
        </xdr:nvSpPr>
        <xdr:spPr>
          <a:xfrm>
            <a:off x="3789278" y="1801311"/>
            <a:ext cx="1630534"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Texto que marca el punto después del que desea extraer.</a:t>
            </a:r>
          </a:p>
        </xdr:txBody>
      </xdr:sp>
      <xdr:pic>
        <xdr:nvPicPr>
          <xdr:cNvPr id="81" name="Gráfico 80" descr="Information con relleno sólido">
            <a:extLst>
              <a:ext uri="{FF2B5EF4-FFF2-40B4-BE49-F238E27FC236}">
                <a16:creationId xmlns:a16="http://schemas.microsoft.com/office/drawing/2014/main" id="{B1292C48-C460-C861-3B33-2AEA1452207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814338" y="1820026"/>
            <a:ext cx="133490" cy="169836"/>
          </a:xfrm>
          <a:prstGeom prst="rect">
            <a:avLst/>
          </a:prstGeom>
        </xdr:spPr>
      </xdr:pic>
      <xdr:sp macro="" textlink="">
        <xdr:nvSpPr>
          <xdr:cNvPr id="82" name="Rectángulo: esquinas redondeadas 81">
            <a:extLst>
              <a:ext uri="{FF2B5EF4-FFF2-40B4-BE49-F238E27FC236}">
                <a16:creationId xmlns:a16="http://schemas.microsoft.com/office/drawing/2014/main" id="{BEB6F92D-3AE1-23E2-A5CF-7A8E8E2E95D1}"/>
              </a:ext>
            </a:extLst>
          </xdr:cNvPr>
          <xdr:cNvSpPr/>
        </xdr:nvSpPr>
        <xdr:spPr>
          <a:xfrm>
            <a:off x="5634317" y="1801311"/>
            <a:ext cx="1639882"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instancia del delimitador después de la cual quiere extraer el texto.   De forma predeterminada, instance_num = 1.  </a:t>
            </a:r>
          </a:p>
        </xdr:txBody>
      </xdr:sp>
      <xdr:pic>
        <xdr:nvPicPr>
          <xdr:cNvPr id="83" name="Gráfico 82" descr="Information con relleno sólido">
            <a:extLst>
              <a:ext uri="{FF2B5EF4-FFF2-40B4-BE49-F238E27FC236}">
                <a16:creationId xmlns:a16="http://schemas.microsoft.com/office/drawing/2014/main" id="{B16E958D-9F4E-4FB9-079B-06FEE50EE47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672077" y="1817018"/>
            <a:ext cx="133490" cy="157136"/>
          </a:xfrm>
          <a:prstGeom prst="rect">
            <a:avLst/>
          </a:prstGeom>
        </xdr:spPr>
      </xdr:pic>
      <xdr:sp macro="" textlink="">
        <xdr:nvSpPr>
          <xdr:cNvPr id="84" name="Rectángulo: esquinas redondeadas 83">
            <a:extLst>
              <a:ext uri="{FF2B5EF4-FFF2-40B4-BE49-F238E27FC236}">
                <a16:creationId xmlns:a16="http://schemas.microsoft.com/office/drawing/2014/main" id="{5D2A830C-7990-33E8-78E6-B512364376F9}"/>
              </a:ext>
            </a:extLst>
          </xdr:cNvPr>
          <xdr:cNvSpPr/>
        </xdr:nvSpPr>
        <xdr:spPr>
          <a:xfrm>
            <a:off x="7655271" y="1817354"/>
            <a:ext cx="1637590"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Determina si la búsqueda de texto distingue mayúsculas de minúsculas. El valor predeterminado distingue mayúsculas de minúsculas. </a:t>
            </a:r>
          </a:p>
        </xdr:txBody>
      </xdr:sp>
      <xdr:pic>
        <xdr:nvPicPr>
          <xdr:cNvPr id="85" name="Gráfico 84" descr="Information con relleno sólido">
            <a:extLst>
              <a:ext uri="{FF2B5EF4-FFF2-40B4-BE49-F238E27FC236}">
                <a16:creationId xmlns:a16="http://schemas.microsoft.com/office/drawing/2014/main" id="{BD82AD4C-BF50-7B60-1800-CF6A1BD1C8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680332" y="1833061"/>
            <a:ext cx="133490" cy="157136"/>
          </a:xfrm>
          <a:prstGeom prst="rect">
            <a:avLst/>
          </a:prstGeom>
        </xdr:spPr>
      </xdr:pic>
      <xdr:sp macro="" textlink="">
        <xdr:nvSpPr>
          <xdr:cNvPr id="86" name="Rectángulo: esquinas redondeadas 85">
            <a:extLst>
              <a:ext uri="{FF2B5EF4-FFF2-40B4-BE49-F238E27FC236}">
                <a16:creationId xmlns:a16="http://schemas.microsoft.com/office/drawing/2014/main" id="{D1BDF553-E0E5-AD91-B2FA-A05B34DB39B7}"/>
              </a:ext>
            </a:extLst>
          </xdr:cNvPr>
          <xdr:cNvSpPr/>
        </xdr:nvSpPr>
        <xdr:spPr>
          <a:xfrm>
            <a:off x="9561413" y="1333676"/>
            <a:ext cx="164528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[match end]</a:t>
            </a:r>
          </a:p>
        </xdr:txBody>
      </xdr:sp>
      <xdr:sp macro="" textlink="">
        <xdr:nvSpPr>
          <xdr:cNvPr id="87" name="Rectángulo: esquinas redondeadas 86">
            <a:extLst>
              <a:ext uri="{FF2B5EF4-FFF2-40B4-BE49-F238E27FC236}">
                <a16:creationId xmlns:a16="http://schemas.microsoft.com/office/drawing/2014/main" id="{0C11590C-A0B6-156F-A4CB-62FF026819FF}"/>
              </a:ext>
            </a:extLst>
          </xdr:cNvPr>
          <xdr:cNvSpPr/>
        </xdr:nvSpPr>
        <xdr:spPr>
          <a:xfrm>
            <a:off x="9372334" y="1333676"/>
            <a:ext cx="152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88" name="Rectángulo: esquinas redondeadas 87">
            <a:extLst>
              <a:ext uri="{FF2B5EF4-FFF2-40B4-BE49-F238E27FC236}">
                <a16:creationId xmlns:a16="http://schemas.microsoft.com/office/drawing/2014/main" id="{CCBE3D49-12E8-FABE-54AD-4547BA6CAA8A}"/>
              </a:ext>
            </a:extLst>
          </xdr:cNvPr>
          <xdr:cNvSpPr/>
        </xdr:nvSpPr>
        <xdr:spPr>
          <a:xfrm>
            <a:off x="11508591" y="1333676"/>
            <a:ext cx="1635579"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[if not found]</a:t>
            </a:r>
          </a:p>
        </xdr:txBody>
      </xdr:sp>
      <xdr:sp macro="" textlink="">
        <xdr:nvSpPr>
          <xdr:cNvPr id="89" name="Rectángulo: esquinas redondeadas 88">
            <a:extLst>
              <a:ext uri="{FF2B5EF4-FFF2-40B4-BE49-F238E27FC236}">
                <a16:creationId xmlns:a16="http://schemas.microsoft.com/office/drawing/2014/main" id="{8A3E5E13-3446-AEB1-A9C2-C453939EBD86}"/>
              </a:ext>
            </a:extLst>
          </xdr:cNvPr>
          <xdr:cNvSpPr/>
        </xdr:nvSpPr>
        <xdr:spPr>
          <a:xfrm>
            <a:off x="11275416" y="1333676"/>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0" name="Rectángulo: esquinas redondeadas 89">
            <a:extLst>
              <a:ext uri="{FF2B5EF4-FFF2-40B4-BE49-F238E27FC236}">
                <a16:creationId xmlns:a16="http://schemas.microsoft.com/office/drawing/2014/main" id="{323E4DFB-A499-0741-F4AE-BBE502B4A4F0}"/>
              </a:ext>
            </a:extLst>
          </xdr:cNvPr>
          <xdr:cNvSpPr/>
        </xdr:nvSpPr>
        <xdr:spPr>
          <a:xfrm>
            <a:off x="9524574" y="1811541"/>
            <a:ext cx="1643058"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Trata el final del texto como delimitador. De forma predeterminada, el texto es una coincidencia exacta.</a:t>
            </a:r>
          </a:p>
        </xdr:txBody>
      </xdr:sp>
      <xdr:pic>
        <xdr:nvPicPr>
          <xdr:cNvPr id="91" name="Gráfico 90" descr="Information con relleno sólido">
            <a:extLst>
              <a:ext uri="{FF2B5EF4-FFF2-40B4-BE49-F238E27FC236}">
                <a16:creationId xmlns:a16="http://schemas.microsoft.com/office/drawing/2014/main" id="{D4B11FBE-A039-E0CD-652C-8343D0062D1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562334" y="1830423"/>
            <a:ext cx="136665" cy="153961"/>
          </a:xfrm>
          <a:prstGeom prst="rect">
            <a:avLst/>
          </a:prstGeom>
        </xdr:spPr>
      </xdr:pic>
      <xdr:sp macro="" textlink="">
        <xdr:nvSpPr>
          <xdr:cNvPr id="92" name="Rectángulo: esquinas redondeadas 91">
            <a:extLst>
              <a:ext uri="{FF2B5EF4-FFF2-40B4-BE49-F238E27FC236}">
                <a16:creationId xmlns:a16="http://schemas.microsoft.com/office/drawing/2014/main" id="{068C5D1D-DD41-FDB3-50A9-4B761C361624}"/>
              </a:ext>
            </a:extLst>
          </xdr:cNvPr>
          <xdr:cNvSpPr/>
        </xdr:nvSpPr>
        <xdr:spPr>
          <a:xfrm>
            <a:off x="11545529" y="1830759"/>
            <a:ext cx="1636531" cy="60811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Valor devuelto si no se encuentra ninguna coincidencia. De forma predeterminada, se devuelve #N/A. Opcional.</a:t>
            </a:r>
          </a:p>
        </xdr:txBody>
      </xdr:sp>
      <xdr:pic>
        <xdr:nvPicPr>
          <xdr:cNvPr id="93" name="Gráfico 92" descr="Information con relleno sólido">
            <a:extLst>
              <a:ext uri="{FF2B5EF4-FFF2-40B4-BE49-F238E27FC236}">
                <a16:creationId xmlns:a16="http://schemas.microsoft.com/office/drawing/2014/main" id="{85DFBC45-04F0-FB0D-A9DF-C3A570973E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567415" y="1854050"/>
            <a:ext cx="133490" cy="143202"/>
          </a:xfrm>
          <a:prstGeom prst="rect">
            <a:avLst/>
          </a:prstGeom>
        </xdr:spPr>
      </xdr:pic>
    </xdr:grpSp>
    <xdr:clientData/>
  </xdr:twoCellAnchor>
  <xdr:twoCellAnchor editAs="oneCell">
    <xdr:from>
      <xdr:col>1</xdr:col>
      <xdr:colOff>0</xdr:colOff>
      <xdr:row>82</xdr:row>
      <xdr:rowOff>0</xdr:rowOff>
    </xdr:from>
    <xdr:to>
      <xdr:col>15</xdr:col>
      <xdr:colOff>625605</xdr:colOff>
      <xdr:row>83</xdr:row>
      <xdr:rowOff>53974</xdr:rowOff>
    </xdr:to>
    <xdr:sp macro="" textlink="">
      <xdr:nvSpPr>
        <xdr:cNvPr id="94" name="Rectángulo: esquinas redondeadas 93">
          <a:extLst>
            <a:ext uri="{FF2B5EF4-FFF2-40B4-BE49-F238E27FC236}">
              <a16:creationId xmlns:a16="http://schemas.microsoft.com/office/drawing/2014/main" id="{365B4A0F-43BE-4A62-97E2-886E67901954}"/>
            </a:ext>
          </a:extLst>
        </xdr:cNvPr>
        <xdr:cNvSpPr/>
      </xdr:nvSpPr>
      <xdr:spPr>
        <a:xfrm>
          <a:off x="127000" y="13581063"/>
          <a:ext cx="13565718" cy="284162"/>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Sintaxis</a:t>
          </a:r>
        </a:p>
      </xdr:txBody>
    </xdr:sp>
    <xdr:clientData/>
  </xdr:twoCellAnchor>
  <xdr:twoCellAnchor editAs="oneCell">
    <xdr:from>
      <xdr:col>1</xdr:col>
      <xdr:colOff>16581</xdr:colOff>
      <xdr:row>89</xdr:row>
      <xdr:rowOff>136349</xdr:rowOff>
    </xdr:from>
    <xdr:to>
      <xdr:col>15</xdr:col>
      <xdr:colOff>645361</xdr:colOff>
      <xdr:row>90</xdr:row>
      <xdr:rowOff>193499</xdr:rowOff>
    </xdr:to>
    <xdr:sp macro="" textlink="">
      <xdr:nvSpPr>
        <xdr:cNvPr id="95" name="Rectángulo: esquinas redondeadas 94">
          <a:extLst>
            <a:ext uri="{FF2B5EF4-FFF2-40B4-BE49-F238E27FC236}">
              <a16:creationId xmlns:a16="http://schemas.microsoft.com/office/drawing/2014/main" id="{71B02D58-E2D3-4B79-9EAB-A1FA06E7E091}"/>
            </a:ext>
          </a:extLst>
        </xdr:cNvPr>
        <xdr:cNvSpPr/>
      </xdr:nvSpPr>
      <xdr:spPr>
        <a:xfrm>
          <a:off x="143581" y="15328724"/>
          <a:ext cx="13568893" cy="287338"/>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a:t>
          </a:r>
        </a:p>
      </xdr:txBody>
    </xdr:sp>
    <xdr:clientData/>
  </xdr:twoCellAnchor>
  <xdr:twoCellAnchor editAs="oneCell">
    <xdr:from>
      <xdr:col>1</xdr:col>
      <xdr:colOff>35279</xdr:colOff>
      <xdr:row>84</xdr:row>
      <xdr:rowOff>35983</xdr:rowOff>
    </xdr:from>
    <xdr:to>
      <xdr:col>15</xdr:col>
      <xdr:colOff>473381</xdr:colOff>
      <xdr:row>89</xdr:row>
      <xdr:rowOff>3649</xdr:rowOff>
    </xdr:to>
    <xdr:grpSp>
      <xdr:nvGrpSpPr>
        <xdr:cNvPr id="96" name="Grupo 95">
          <a:extLst>
            <a:ext uri="{FF2B5EF4-FFF2-40B4-BE49-F238E27FC236}">
              <a16:creationId xmlns:a16="http://schemas.microsoft.com/office/drawing/2014/main" id="{5CF0B4C8-6798-4E17-981A-441E6CBE1C0E}"/>
            </a:ext>
          </a:extLst>
        </xdr:cNvPr>
        <xdr:cNvGrpSpPr/>
      </xdr:nvGrpSpPr>
      <xdr:grpSpPr>
        <a:xfrm>
          <a:off x="151696" y="15360650"/>
          <a:ext cx="11942185" cy="867249"/>
          <a:chOff x="162278" y="1320271"/>
          <a:chExt cx="13365515" cy="1118603"/>
        </a:xfrm>
      </xdr:grpSpPr>
      <xdr:sp macro="" textlink="">
        <xdr:nvSpPr>
          <xdr:cNvPr id="97" name="Rectángulo: esquinas redondeadas 96">
            <a:extLst>
              <a:ext uri="{FF2B5EF4-FFF2-40B4-BE49-F238E27FC236}">
                <a16:creationId xmlns:a16="http://schemas.microsoft.com/office/drawing/2014/main" id="{C38B76FF-7F5C-4450-034F-DCCBBE1B8F26}"/>
              </a:ext>
            </a:extLst>
          </xdr:cNvPr>
          <xdr:cNvSpPr/>
        </xdr:nvSpPr>
        <xdr:spPr>
          <a:xfrm>
            <a:off x="162278" y="1320271"/>
            <a:ext cx="307255"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98" name="Rectángulo: esquinas redondeadas 97">
            <a:extLst>
              <a:ext uri="{FF2B5EF4-FFF2-40B4-BE49-F238E27FC236}">
                <a16:creationId xmlns:a16="http://schemas.microsoft.com/office/drawing/2014/main" id="{D0539A82-B00B-B8F8-9D16-1236B501B2FD}"/>
              </a:ext>
            </a:extLst>
          </xdr:cNvPr>
          <xdr:cNvSpPr/>
        </xdr:nvSpPr>
        <xdr:spPr>
          <a:xfrm>
            <a:off x="538908" y="1320271"/>
            <a:ext cx="913885" cy="363570"/>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600">
                <a:solidFill>
                  <a:schemeClr val="bg1"/>
                </a:solidFill>
                <a:latin typeface="Montserrat" panose="00000500000000000000" pitchFamily="2" charset="0"/>
                <a:ea typeface="+mn-ea"/>
                <a:cs typeface="+mn-cs"/>
              </a:rPr>
              <a:t>DIVIDIRTEXTO</a:t>
            </a:r>
          </a:p>
        </xdr:txBody>
      </xdr:sp>
      <xdr:sp macro="" textlink="">
        <xdr:nvSpPr>
          <xdr:cNvPr id="99" name="Rectángulo: esquinas redondeadas 98">
            <a:extLst>
              <a:ext uri="{FF2B5EF4-FFF2-40B4-BE49-F238E27FC236}">
                <a16:creationId xmlns:a16="http://schemas.microsoft.com/office/drawing/2014/main" id="{72DEE7F2-F200-A71E-436D-E3FD7EDF0D4D}"/>
              </a:ext>
            </a:extLst>
          </xdr:cNvPr>
          <xdr:cNvSpPr/>
        </xdr:nvSpPr>
        <xdr:spPr>
          <a:xfrm>
            <a:off x="1501590" y="1320271"/>
            <a:ext cx="267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0" name="Rectángulo: esquinas redondeadas 99">
            <a:extLst>
              <a:ext uri="{FF2B5EF4-FFF2-40B4-BE49-F238E27FC236}">
                <a16:creationId xmlns:a16="http://schemas.microsoft.com/office/drawing/2014/main" id="{C1833643-C2E8-2B48-5D43-20672B989DFB}"/>
              </a:ext>
            </a:extLst>
          </xdr:cNvPr>
          <xdr:cNvSpPr/>
        </xdr:nvSpPr>
        <xdr:spPr>
          <a:xfrm>
            <a:off x="1856114" y="1320271"/>
            <a:ext cx="163505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Text</a:t>
            </a:r>
          </a:p>
        </xdr:txBody>
      </xdr:sp>
      <xdr:sp macro="" textlink="">
        <xdr:nvSpPr>
          <xdr:cNvPr id="101" name="Rectángulo: esquinas redondeadas 100">
            <a:extLst>
              <a:ext uri="{FF2B5EF4-FFF2-40B4-BE49-F238E27FC236}">
                <a16:creationId xmlns:a16="http://schemas.microsoft.com/office/drawing/2014/main" id="{37F9FA0D-83C2-B54A-EE72-5D26E304D3E0}"/>
              </a:ext>
            </a:extLst>
          </xdr:cNvPr>
          <xdr:cNvSpPr/>
        </xdr:nvSpPr>
        <xdr:spPr>
          <a:xfrm>
            <a:off x="3805761" y="1320271"/>
            <a:ext cx="1635932"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Col Delimiter</a:t>
            </a:r>
          </a:p>
        </xdr:txBody>
      </xdr:sp>
      <xdr:sp macro="" textlink="">
        <xdr:nvSpPr>
          <xdr:cNvPr id="102" name="Rectángulo: esquinas redondeadas 101">
            <a:extLst>
              <a:ext uri="{FF2B5EF4-FFF2-40B4-BE49-F238E27FC236}">
                <a16:creationId xmlns:a16="http://schemas.microsoft.com/office/drawing/2014/main" id="{1C7F72C0-3300-D104-B7E0-8AC20ABDA88C}"/>
              </a:ext>
            </a:extLst>
          </xdr:cNvPr>
          <xdr:cNvSpPr/>
        </xdr:nvSpPr>
        <xdr:spPr>
          <a:xfrm>
            <a:off x="5671156" y="1320271"/>
            <a:ext cx="1642105"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[Row Delimitir]</a:t>
            </a:r>
          </a:p>
        </xdr:txBody>
      </xdr:sp>
      <xdr:sp macro="" textlink="">
        <xdr:nvSpPr>
          <xdr:cNvPr id="103" name="Rectángulo: esquinas redondeadas 102">
            <a:extLst>
              <a:ext uri="{FF2B5EF4-FFF2-40B4-BE49-F238E27FC236}">
                <a16:creationId xmlns:a16="http://schemas.microsoft.com/office/drawing/2014/main" id="{BBCF40FA-6D57-02F1-50DA-2714D37F6961}"/>
              </a:ext>
            </a:extLst>
          </xdr:cNvPr>
          <xdr:cNvSpPr/>
        </xdr:nvSpPr>
        <xdr:spPr>
          <a:xfrm>
            <a:off x="13256754" y="1354136"/>
            <a:ext cx="271039" cy="354045"/>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4" name="Rectángulo: esquinas redondeadas 103">
            <a:extLst>
              <a:ext uri="{FF2B5EF4-FFF2-40B4-BE49-F238E27FC236}">
                <a16:creationId xmlns:a16="http://schemas.microsoft.com/office/drawing/2014/main" id="{FBC64AFE-DCE8-5A4D-42FC-95B42F3C0B3E}"/>
              </a:ext>
            </a:extLst>
          </xdr:cNvPr>
          <xdr:cNvSpPr/>
        </xdr:nvSpPr>
        <xdr:spPr>
          <a:xfrm>
            <a:off x="3563062"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5" name="Rectángulo: esquinas redondeadas 104">
            <a:extLst>
              <a:ext uri="{FF2B5EF4-FFF2-40B4-BE49-F238E27FC236}">
                <a16:creationId xmlns:a16="http://schemas.microsoft.com/office/drawing/2014/main" id="{8D260FF2-69D9-F614-B429-C382219E8195}"/>
              </a:ext>
            </a:extLst>
          </xdr:cNvPr>
          <xdr:cNvSpPr/>
        </xdr:nvSpPr>
        <xdr:spPr>
          <a:xfrm>
            <a:off x="5482077" y="1320271"/>
            <a:ext cx="14968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6" name="Rectángulo: esquinas redondeadas 105">
            <a:extLst>
              <a:ext uri="{FF2B5EF4-FFF2-40B4-BE49-F238E27FC236}">
                <a16:creationId xmlns:a16="http://schemas.microsoft.com/office/drawing/2014/main" id="{C6156212-AC45-D1C9-6611-EAC99E4241AA}"/>
              </a:ext>
            </a:extLst>
          </xdr:cNvPr>
          <xdr:cNvSpPr/>
        </xdr:nvSpPr>
        <xdr:spPr>
          <a:xfrm>
            <a:off x="7618333" y="1320271"/>
            <a:ext cx="1639813"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[Ignore Empty]</a:t>
            </a:r>
          </a:p>
        </xdr:txBody>
      </xdr:sp>
      <xdr:sp macro="" textlink="">
        <xdr:nvSpPr>
          <xdr:cNvPr id="107" name="Rectángulo: esquinas redondeadas 106">
            <a:extLst>
              <a:ext uri="{FF2B5EF4-FFF2-40B4-BE49-F238E27FC236}">
                <a16:creationId xmlns:a16="http://schemas.microsoft.com/office/drawing/2014/main" id="{12DE6593-2A6A-55EF-0B64-644F2E83A202}"/>
              </a:ext>
            </a:extLst>
          </xdr:cNvPr>
          <xdr:cNvSpPr/>
        </xdr:nvSpPr>
        <xdr:spPr>
          <a:xfrm>
            <a:off x="7385158" y="1320271"/>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8" name="Rectángulo: esquinas redondeadas 107">
            <a:extLst>
              <a:ext uri="{FF2B5EF4-FFF2-40B4-BE49-F238E27FC236}">
                <a16:creationId xmlns:a16="http://schemas.microsoft.com/office/drawing/2014/main" id="{B9FF9A30-2123-F3CD-CDB2-2339959AF174}"/>
              </a:ext>
            </a:extLst>
          </xdr:cNvPr>
          <xdr:cNvSpPr/>
        </xdr:nvSpPr>
        <xdr:spPr>
          <a:xfrm>
            <a:off x="1846044" y="1801311"/>
            <a:ext cx="1636003"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El texto en el que está buscando. No se permiten caracteres comodín. Si el texto es una cadena vacía, Excel devuelve texto vacío. </a:t>
            </a:r>
          </a:p>
        </xdr:txBody>
      </xdr:sp>
      <xdr:pic>
        <xdr:nvPicPr>
          <xdr:cNvPr id="109" name="Gráfico 108" descr="Information con relleno sólido">
            <a:extLst>
              <a:ext uri="{FF2B5EF4-FFF2-40B4-BE49-F238E27FC236}">
                <a16:creationId xmlns:a16="http://schemas.microsoft.com/office/drawing/2014/main" id="{37DDE752-D710-9196-C173-DB0F576F77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77455" y="1835733"/>
            <a:ext cx="133490" cy="157136"/>
          </a:xfrm>
          <a:prstGeom prst="rect">
            <a:avLst/>
          </a:prstGeom>
        </xdr:spPr>
      </xdr:pic>
      <xdr:sp macro="" textlink="">
        <xdr:nvSpPr>
          <xdr:cNvPr id="110" name="Rectángulo: esquinas redondeadas 109">
            <a:extLst>
              <a:ext uri="{FF2B5EF4-FFF2-40B4-BE49-F238E27FC236}">
                <a16:creationId xmlns:a16="http://schemas.microsoft.com/office/drawing/2014/main" id="{75924E64-A672-66D8-C586-9E310A39AAD6}"/>
              </a:ext>
            </a:extLst>
          </xdr:cNvPr>
          <xdr:cNvSpPr/>
        </xdr:nvSpPr>
        <xdr:spPr>
          <a:xfrm>
            <a:off x="3789278" y="1801311"/>
            <a:ext cx="1630534"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Texto que marca el punto después del que desea extraer.</a:t>
            </a:r>
          </a:p>
        </xdr:txBody>
      </xdr:sp>
      <xdr:pic>
        <xdr:nvPicPr>
          <xdr:cNvPr id="111" name="Gráfico 110" descr="Information con relleno sólido">
            <a:extLst>
              <a:ext uri="{FF2B5EF4-FFF2-40B4-BE49-F238E27FC236}">
                <a16:creationId xmlns:a16="http://schemas.microsoft.com/office/drawing/2014/main" id="{6841CB07-AAEF-A3C3-8924-029E2405F89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814338" y="1820026"/>
            <a:ext cx="133490" cy="169836"/>
          </a:xfrm>
          <a:prstGeom prst="rect">
            <a:avLst/>
          </a:prstGeom>
        </xdr:spPr>
      </xdr:pic>
      <xdr:sp macro="" textlink="">
        <xdr:nvSpPr>
          <xdr:cNvPr id="112" name="Rectángulo: esquinas redondeadas 111">
            <a:extLst>
              <a:ext uri="{FF2B5EF4-FFF2-40B4-BE49-F238E27FC236}">
                <a16:creationId xmlns:a16="http://schemas.microsoft.com/office/drawing/2014/main" id="{69930CF5-31DF-5ACB-F4D5-1AE910CA3D08}"/>
              </a:ext>
            </a:extLst>
          </xdr:cNvPr>
          <xdr:cNvSpPr/>
        </xdr:nvSpPr>
        <xdr:spPr>
          <a:xfrm>
            <a:off x="5634317" y="1801311"/>
            <a:ext cx="1639882"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La instancia del delimitador después de la cual quiere extraer el texto.   De forma predeterminada, instance_num = 1.  </a:t>
            </a:r>
          </a:p>
        </xdr:txBody>
      </xdr:sp>
      <xdr:pic>
        <xdr:nvPicPr>
          <xdr:cNvPr id="113" name="Gráfico 112" descr="Information con relleno sólido">
            <a:extLst>
              <a:ext uri="{FF2B5EF4-FFF2-40B4-BE49-F238E27FC236}">
                <a16:creationId xmlns:a16="http://schemas.microsoft.com/office/drawing/2014/main" id="{2AA292D7-3F0C-0155-05AA-F0840EDC49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672077" y="1817018"/>
            <a:ext cx="133490" cy="157136"/>
          </a:xfrm>
          <a:prstGeom prst="rect">
            <a:avLst/>
          </a:prstGeom>
        </xdr:spPr>
      </xdr:pic>
      <xdr:sp macro="" textlink="">
        <xdr:nvSpPr>
          <xdr:cNvPr id="114" name="Rectángulo: esquinas redondeadas 113">
            <a:extLst>
              <a:ext uri="{FF2B5EF4-FFF2-40B4-BE49-F238E27FC236}">
                <a16:creationId xmlns:a16="http://schemas.microsoft.com/office/drawing/2014/main" id="{5D322BB3-07A8-CF50-E0A4-2E37649DA577}"/>
              </a:ext>
            </a:extLst>
          </xdr:cNvPr>
          <xdr:cNvSpPr/>
        </xdr:nvSpPr>
        <xdr:spPr>
          <a:xfrm>
            <a:off x="7655271" y="1817354"/>
            <a:ext cx="1637590"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Determina si la búsqueda de texto distingue mayúsculas de minúsculas. El valor predeterminado distingue mayúsculas de minúsculas. </a:t>
            </a:r>
          </a:p>
        </xdr:txBody>
      </xdr:sp>
      <xdr:pic>
        <xdr:nvPicPr>
          <xdr:cNvPr id="115" name="Gráfico 114" descr="Information con relleno sólido">
            <a:extLst>
              <a:ext uri="{FF2B5EF4-FFF2-40B4-BE49-F238E27FC236}">
                <a16:creationId xmlns:a16="http://schemas.microsoft.com/office/drawing/2014/main" id="{183696EC-4A8B-3D82-A401-4B7A98E367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680332" y="1833061"/>
            <a:ext cx="133490" cy="157136"/>
          </a:xfrm>
          <a:prstGeom prst="rect">
            <a:avLst/>
          </a:prstGeom>
        </xdr:spPr>
      </xdr:pic>
      <xdr:sp macro="" textlink="">
        <xdr:nvSpPr>
          <xdr:cNvPr id="116" name="Rectángulo: esquinas redondeadas 115">
            <a:extLst>
              <a:ext uri="{FF2B5EF4-FFF2-40B4-BE49-F238E27FC236}">
                <a16:creationId xmlns:a16="http://schemas.microsoft.com/office/drawing/2014/main" id="{79F5AB61-11DA-D36C-B373-013DE58C178E}"/>
              </a:ext>
            </a:extLst>
          </xdr:cNvPr>
          <xdr:cNvSpPr/>
        </xdr:nvSpPr>
        <xdr:spPr>
          <a:xfrm>
            <a:off x="9561413" y="1333676"/>
            <a:ext cx="1645281"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[Match Mode]</a:t>
            </a:r>
          </a:p>
        </xdr:txBody>
      </xdr:sp>
      <xdr:sp macro="" textlink="">
        <xdr:nvSpPr>
          <xdr:cNvPr id="117" name="Rectángulo: esquinas redondeadas 116">
            <a:extLst>
              <a:ext uri="{FF2B5EF4-FFF2-40B4-BE49-F238E27FC236}">
                <a16:creationId xmlns:a16="http://schemas.microsoft.com/office/drawing/2014/main" id="{5CDD1972-1C70-F0EE-E143-19C3F748CC68}"/>
              </a:ext>
            </a:extLst>
          </xdr:cNvPr>
          <xdr:cNvSpPr/>
        </xdr:nvSpPr>
        <xdr:spPr>
          <a:xfrm>
            <a:off x="9372334" y="1333676"/>
            <a:ext cx="152864"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8" name="Rectángulo: esquinas redondeadas 117">
            <a:extLst>
              <a:ext uri="{FF2B5EF4-FFF2-40B4-BE49-F238E27FC236}">
                <a16:creationId xmlns:a16="http://schemas.microsoft.com/office/drawing/2014/main" id="{60D7B88F-EE51-E617-C4A4-2AAED034FC97}"/>
              </a:ext>
            </a:extLst>
          </xdr:cNvPr>
          <xdr:cNvSpPr/>
        </xdr:nvSpPr>
        <xdr:spPr>
          <a:xfrm>
            <a:off x="11508591" y="1333676"/>
            <a:ext cx="1635579" cy="363570"/>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[Pad with]</a:t>
            </a:r>
          </a:p>
        </xdr:txBody>
      </xdr:sp>
      <xdr:sp macro="" textlink="">
        <xdr:nvSpPr>
          <xdr:cNvPr id="119" name="Rectángulo: esquinas redondeadas 118">
            <a:extLst>
              <a:ext uri="{FF2B5EF4-FFF2-40B4-BE49-F238E27FC236}">
                <a16:creationId xmlns:a16="http://schemas.microsoft.com/office/drawing/2014/main" id="{119A9567-7B29-19FB-9BAE-D344ACDFC2CB}"/>
              </a:ext>
            </a:extLst>
          </xdr:cNvPr>
          <xdr:cNvSpPr/>
        </xdr:nvSpPr>
        <xdr:spPr>
          <a:xfrm>
            <a:off x="11275416" y="1333676"/>
            <a:ext cx="143339" cy="363570"/>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20" name="Rectángulo: esquinas redondeadas 119">
            <a:extLst>
              <a:ext uri="{FF2B5EF4-FFF2-40B4-BE49-F238E27FC236}">
                <a16:creationId xmlns:a16="http://schemas.microsoft.com/office/drawing/2014/main" id="{C95FB062-7A01-133C-11E0-2C4CADD85DF4}"/>
              </a:ext>
            </a:extLst>
          </xdr:cNvPr>
          <xdr:cNvSpPr/>
        </xdr:nvSpPr>
        <xdr:spPr>
          <a:xfrm>
            <a:off x="9524574" y="1811541"/>
            <a:ext cx="1643058" cy="61446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Trata el final del texto como delimitador. De forma predeterminada, el texto es una coincidencia exacta.</a:t>
            </a:r>
          </a:p>
        </xdr:txBody>
      </xdr:sp>
      <xdr:pic>
        <xdr:nvPicPr>
          <xdr:cNvPr id="121" name="Gráfico 120" descr="Information con relleno sólido">
            <a:extLst>
              <a:ext uri="{FF2B5EF4-FFF2-40B4-BE49-F238E27FC236}">
                <a16:creationId xmlns:a16="http://schemas.microsoft.com/office/drawing/2014/main" id="{B2C224BD-AE21-6320-2497-7DA7CE4668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562334" y="1830423"/>
            <a:ext cx="136665" cy="153961"/>
          </a:xfrm>
          <a:prstGeom prst="rect">
            <a:avLst/>
          </a:prstGeom>
        </xdr:spPr>
      </xdr:pic>
      <xdr:sp macro="" textlink="">
        <xdr:nvSpPr>
          <xdr:cNvPr id="122" name="Rectángulo: esquinas redondeadas 121">
            <a:extLst>
              <a:ext uri="{FF2B5EF4-FFF2-40B4-BE49-F238E27FC236}">
                <a16:creationId xmlns:a16="http://schemas.microsoft.com/office/drawing/2014/main" id="{9B37DAE6-23F1-909C-B0CD-2B3EF26828ED}"/>
              </a:ext>
            </a:extLst>
          </xdr:cNvPr>
          <xdr:cNvSpPr/>
        </xdr:nvSpPr>
        <xdr:spPr>
          <a:xfrm>
            <a:off x="11545529" y="1830759"/>
            <a:ext cx="1636531" cy="608115"/>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Valor devuelto si no se encuentra ninguna coincidencia. De forma predeterminada, se devuelve #N/A. Opcional.</a:t>
            </a:r>
          </a:p>
        </xdr:txBody>
      </xdr:sp>
      <xdr:pic>
        <xdr:nvPicPr>
          <xdr:cNvPr id="123" name="Gráfico 122" descr="Information con relleno sólido">
            <a:extLst>
              <a:ext uri="{FF2B5EF4-FFF2-40B4-BE49-F238E27FC236}">
                <a16:creationId xmlns:a16="http://schemas.microsoft.com/office/drawing/2014/main" id="{CF6428D1-A567-A97D-B369-410C925A05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567415" y="1854050"/>
            <a:ext cx="133490" cy="143202"/>
          </a:xfrm>
          <a:prstGeom prst="rect">
            <a:avLst/>
          </a:prstGeom>
        </xdr:spPr>
      </xdr:pic>
    </xdr:grpSp>
    <xdr:clientData/>
  </xdr:twoCellAnchor>
  <xdr:twoCellAnchor editAs="absolute">
    <xdr:from>
      <xdr:col>1</xdr:col>
      <xdr:colOff>0</xdr:colOff>
      <xdr:row>59</xdr:row>
      <xdr:rowOff>2515</xdr:rowOff>
    </xdr:from>
    <xdr:to>
      <xdr:col>15</xdr:col>
      <xdr:colOff>625605</xdr:colOff>
      <xdr:row>60</xdr:row>
      <xdr:rowOff>57151</xdr:rowOff>
    </xdr:to>
    <xdr:sp macro="" textlink="">
      <xdr:nvSpPr>
        <xdr:cNvPr id="124" name="Rectángulo: esquinas redondeadas 123">
          <a:extLst>
            <a:ext uri="{FF2B5EF4-FFF2-40B4-BE49-F238E27FC236}">
              <a16:creationId xmlns:a16="http://schemas.microsoft.com/office/drawing/2014/main" id="{DAC3C1C9-F5B4-4B85-A1AB-8314C2DA6EFE}"/>
            </a:ext>
          </a:extLst>
        </xdr:cNvPr>
        <xdr:cNvSpPr/>
      </xdr:nvSpPr>
      <xdr:spPr>
        <a:xfrm>
          <a:off x="129886" y="13623636"/>
          <a:ext cx="13563121" cy="288060"/>
        </a:xfrm>
        <a:prstGeom prst="roundRect">
          <a:avLst/>
        </a:prstGeom>
        <a:gradFill>
          <a:gsLst>
            <a:gs pos="0">
              <a:schemeClr val="accent4"/>
            </a:gs>
            <a:gs pos="33000">
              <a:srgbClr val="00B0F0"/>
            </a:gs>
            <a:gs pos="68000">
              <a:schemeClr val="accent1">
                <a:lumMod val="60000"/>
                <a:lumOff val="40000"/>
              </a:schemeClr>
            </a:gs>
            <a:gs pos="96000">
              <a:schemeClr val="accent4">
                <a:lumMod val="40000"/>
                <a:lumOff val="60000"/>
              </a:schemeClr>
            </a:gs>
          </a:gsLst>
          <a:lin ang="0" scaled="1"/>
        </a:gra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latin typeface="Montserrat" panose="00000500000000000000" pitchFamily="2" charset="0"/>
            </a:rPr>
            <a:t>Ejemplo ANIDACIÓN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311604</xdr:colOff>
      <xdr:row>28</xdr:row>
      <xdr:rowOff>112939</xdr:rowOff>
    </xdr:from>
    <xdr:to>
      <xdr:col>2</xdr:col>
      <xdr:colOff>692606</xdr:colOff>
      <xdr:row>30</xdr:row>
      <xdr:rowOff>8165</xdr:rowOff>
    </xdr:to>
    <xdr:grpSp>
      <xdr:nvGrpSpPr>
        <xdr:cNvPr id="54" name="Grupo 53">
          <a:extLst>
            <a:ext uri="{FF2B5EF4-FFF2-40B4-BE49-F238E27FC236}">
              <a16:creationId xmlns:a16="http://schemas.microsoft.com/office/drawing/2014/main" id="{A44FBC11-C333-0FB2-9F6D-90F518098CB4}"/>
            </a:ext>
          </a:extLst>
        </xdr:cNvPr>
        <xdr:cNvGrpSpPr/>
      </xdr:nvGrpSpPr>
      <xdr:grpSpPr>
        <a:xfrm>
          <a:off x="311604" y="5065939"/>
          <a:ext cx="2068288" cy="249012"/>
          <a:chOff x="276225" y="2533650"/>
          <a:chExt cx="2362202" cy="352426"/>
        </a:xfrm>
      </xdr:grpSpPr>
      <xdr:sp macro="" textlink="">
        <xdr:nvSpPr>
          <xdr:cNvPr id="49" name="Rectángulo: esquinas redondeadas 48">
            <a:extLst>
              <a:ext uri="{FF2B5EF4-FFF2-40B4-BE49-F238E27FC236}">
                <a16:creationId xmlns:a16="http://schemas.microsoft.com/office/drawing/2014/main" id="{CB2B94BE-575D-7BDB-7CF5-48833341AE1B}"/>
              </a:ext>
            </a:extLst>
          </xdr:cNvPr>
          <xdr:cNvSpPr/>
        </xdr:nvSpPr>
        <xdr:spPr>
          <a:xfrm>
            <a:off x="276225" y="25336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0" name="Rectángulo: esquinas redondeadas 49">
            <a:extLst>
              <a:ext uri="{FF2B5EF4-FFF2-40B4-BE49-F238E27FC236}">
                <a16:creationId xmlns:a16="http://schemas.microsoft.com/office/drawing/2014/main" id="{FAD479FC-CB95-B721-293E-6A5C459E4C79}"/>
              </a:ext>
            </a:extLst>
          </xdr:cNvPr>
          <xdr:cNvSpPr/>
        </xdr:nvSpPr>
        <xdr:spPr>
          <a:xfrm>
            <a:off x="728963" y="25336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51" name="Rectángulo: esquinas redondeadas 50">
            <a:extLst>
              <a:ext uri="{FF2B5EF4-FFF2-40B4-BE49-F238E27FC236}">
                <a16:creationId xmlns:a16="http://schemas.microsoft.com/office/drawing/2014/main" id="{521F2999-0BB6-1039-2D14-96DFDFAFF59B}"/>
              </a:ext>
            </a:extLst>
          </xdr:cNvPr>
          <xdr:cNvSpPr/>
        </xdr:nvSpPr>
        <xdr:spPr>
          <a:xfrm>
            <a:off x="1915126" y="25336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53" name="Rectángulo: esquinas redondeadas 52">
            <a:extLst>
              <a:ext uri="{FF2B5EF4-FFF2-40B4-BE49-F238E27FC236}">
                <a16:creationId xmlns:a16="http://schemas.microsoft.com/office/drawing/2014/main" id="{784DC8F0-0C51-88B1-E735-B9AC93D39E54}"/>
              </a:ext>
            </a:extLst>
          </xdr:cNvPr>
          <xdr:cNvSpPr/>
        </xdr:nvSpPr>
        <xdr:spPr>
          <a:xfrm>
            <a:off x="2314575" y="25336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clientData/>
  </xdr:twoCellAnchor>
  <xdr:twoCellAnchor editAs="oneCell">
    <xdr:from>
      <xdr:col>0</xdr:col>
      <xdr:colOff>276225</xdr:colOff>
      <xdr:row>1</xdr:row>
      <xdr:rowOff>123825</xdr:rowOff>
    </xdr:from>
    <xdr:to>
      <xdr:col>9</xdr:col>
      <xdr:colOff>390527</xdr:colOff>
      <xdr:row>6</xdr:row>
      <xdr:rowOff>59550</xdr:rowOff>
    </xdr:to>
    <xdr:grpSp>
      <xdr:nvGrpSpPr>
        <xdr:cNvPr id="65" name="Grupo 64">
          <a:extLst>
            <a:ext uri="{FF2B5EF4-FFF2-40B4-BE49-F238E27FC236}">
              <a16:creationId xmlns:a16="http://schemas.microsoft.com/office/drawing/2014/main" id="{444F518D-B245-6C99-3ED2-645B8E97346A}"/>
            </a:ext>
          </a:extLst>
        </xdr:cNvPr>
        <xdr:cNvGrpSpPr/>
      </xdr:nvGrpSpPr>
      <xdr:grpSpPr>
        <a:xfrm>
          <a:off x="276225" y="300718"/>
          <a:ext cx="7707088" cy="820189"/>
          <a:chOff x="276225" y="352425"/>
          <a:chExt cx="9029702" cy="1078725"/>
        </a:xfrm>
      </xdr:grpSpPr>
      <xdr:grpSp>
        <xdr:nvGrpSpPr>
          <xdr:cNvPr id="2" name="Grupo 1">
            <a:extLst>
              <a:ext uri="{FF2B5EF4-FFF2-40B4-BE49-F238E27FC236}">
                <a16:creationId xmlns:a16="http://schemas.microsoft.com/office/drawing/2014/main" id="{837B1523-AF1E-4F96-8853-902B2272A7F0}"/>
              </a:ext>
            </a:extLst>
          </xdr:cNvPr>
          <xdr:cNvGrpSpPr/>
        </xdr:nvGrpSpPr>
        <xdr:grpSpPr>
          <a:xfrm>
            <a:off x="276225" y="352425"/>
            <a:ext cx="9029702" cy="352426"/>
            <a:chOff x="142874" y="2266950"/>
            <a:chExt cx="9029702" cy="352426"/>
          </a:xfrm>
        </xdr:grpSpPr>
        <xdr:sp macro="" textlink="">
          <xdr:nvSpPr>
            <xdr:cNvPr id="3" name="Rectángulo: esquinas redondeadas 2">
              <a:extLst>
                <a:ext uri="{FF2B5EF4-FFF2-40B4-BE49-F238E27FC236}">
                  <a16:creationId xmlns:a16="http://schemas.microsoft.com/office/drawing/2014/main" id="{CB00672F-5190-2221-BCB2-833610227C1A}"/>
                </a:ext>
              </a:extLst>
            </xdr:cNvPr>
            <xdr:cNvSpPr/>
          </xdr:nvSpPr>
          <xdr:spPr>
            <a:xfrm>
              <a:off x="142874" y="22669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 name="Rectángulo: esquinas redondeadas 3">
              <a:extLst>
                <a:ext uri="{FF2B5EF4-FFF2-40B4-BE49-F238E27FC236}">
                  <a16:creationId xmlns:a16="http://schemas.microsoft.com/office/drawing/2014/main" id="{D29A5507-E02F-50E5-0531-663694C0C1FC}"/>
                </a:ext>
              </a:extLst>
            </xdr:cNvPr>
            <xdr:cNvSpPr/>
          </xdr:nvSpPr>
          <xdr:spPr>
            <a:xfrm>
              <a:off x="590548" y="22669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5" name="Rectángulo: esquinas redondeadas 4">
              <a:extLst>
                <a:ext uri="{FF2B5EF4-FFF2-40B4-BE49-F238E27FC236}">
                  <a16:creationId xmlns:a16="http://schemas.microsoft.com/office/drawing/2014/main" id="{85BF4CDD-9225-B515-91BD-22593EA3AF5D}"/>
                </a:ext>
              </a:extLst>
            </xdr:cNvPr>
            <xdr:cNvSpPr/>
          </xdr:nvSpPr>
          <xdr:spPr>
            <a:xfrm>
              <a:off x="17621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6" name="Rectángulo: esquinas redondeadas 5">
              <a:extLst>
                <a:ext uri="{FF2B5EF4-FFF2-40B4-BE49-F238E27FC236}">
                  <a16:creationId xmlns:a16="http://schemas.microsoft.com/office/drawing/2014/main" id="{6DEBF648-CA29-549D-5DDF-BB7DB6FAF859}"/>
                </a:ext>
              </a:extLst>
            </xdr:cNvPr>
            <xdr:cNvSpPr/>
          </xdr:nvSpPr>
          <xdr:spPr>
            <a:xfrm>
              <a:off x="21907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7" name="Rectángulo: esquinas redondeadas 6">
              <a:extLst>
                <a:ext uri="{FF2B5EF4-FFF2-40B4-BE49-F238E27FC236}">
                  <a16:creationId xmlns:a16="http://schemas.microsoft.com/office/drawing/2014/main" id="{03BFAF65-9688-A1E8-DD5B-4E36ABE567A8}"/>
                </a:ext>
              </a:extLst>
            </xdr:cNvPr>
            <xdr:cNvSpPr/>
          </xdr:nvSpPr>
          <xdr:spPr>
            <a:xfrm>
              <a:off x="4543424"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8" name="Rectángulo: esquinas redondeadas 7">
              <a:extLst>
                <a:ext uri="{FF2B5EF4-FFF2-40B4-BE49-F238E27FC236}">
                  <a16:creationId xmlns:a16="http://schemas.microsoft.com/office/drawing/2014/main" id="{36B327F5-20F5-87BA-C3C5-A0C820B9E05C}"/>
                </a:ext>
              </a:extLst>
            </xdr:cNvPr>
            <xdr:cNvSpPr/>
          </xdr:nvSpPr>
          <xdr:spPr>
            <a:xfrm>
              <a:off x="6800849" y="22669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9" name="Rectángulo: esquinas redondeadas 8">
              <a:extLst>
                <a:ext uri="{FF2B5EF4-FFF2-40B4-BE49-F238E27FC236}">
                  <a16:creationId xmlns:a16="http://schemas.microsoft.com/office/drawing/2014/main" id="{0F66275C-948F-82AA-9C74-FD989D6D2D93}"/>
                </a:ext>
              </a:extLst>
            </xdr:cNvPr>
            <xdr:cNvSpPr/>
          </xdr:nvSpPr>
          <xdr:spPr>
            <a:xfrm>
              <a:off x="8848724" y="22669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0" name="Rectángulo: esquinas redondeadas 9">
              <a:extLst>
                <a:ext uri="{FF2B5EF4-FFF2-40B4-BE49-F238E27FC236}">
                  <a16:creationId xmlns:a16="http://schemas.microsoft.com/office/drawing/2014/main" id="{9D95C787-9B99-86D2-4655-42799970DE81}"/>
                </a:ext>
              </a:extLst>
            </xdr:cNvPr>
            <xdr:cNvSpPr/>
          </xdr:nvSpPr>
          <xdr:spPr>
            <a:xfrm>
              <a:off x="4257674"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1" name="Rectángulo: esquinas redondeadas 10">
              <a:extLst>
                <a:ext uri="{FF2B5EF4-FFF2-40B4-BE49-F238E27FC236}">
                  <a16:creationId xmlns:a16="http://schemas.microsoft.com/office/drawing/2014/main" id="{F5FB43F2-0DFC-21CA-8166-69FD88876625}"/>
                </a:ext>
              </a:extLst>
            </xdr:cNvPr>
            <xdr:cNvSpPr/>
          </xdr:nvSpPr>
          <xdr:spPr>
            <a:xfrm>
              <a:off x="6572249" y="22669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grpSp>
        <xdr:nvGrpSpPr>
          <xdr:cNvPr id="58" name="Grupo 57">
            <a:extLst>
              <a:ext uri="{FF2B5EF4-FFF2-40B4-BE49-F238E27FC236}">
                <a16:creationId xmlns:a16="http://schemas.microsoft.com/office/drawing/2014/main" id="{99DBB9B3-DF53-45F8-AF81-9209EFD45A84}"/>
              </a:ext>
            </a:extLst>
          </xdr:cNvPr>
          <xdr:cNvGrpSpPr/>
        </xdr:nvGrpSpPr>
        <xdr:grpSpPr>
          <a:xfrm>
            <a:off x="2324100" y="819150"/>
            <a:ext cx="6580575" cy="612000"/>
            <a:chOff x="2190749" y="2847975"/>
            <a:chExt cx="6580575" cy="612000"/>
          </a:xfrm>
        </xdr:grpSpPr>
        <xdr:sp macro="" textlink="">
          <xdr:nvSpPr>
            <xdr:cNvPr id="59" name="Rectángulo: esquinas redondeadas 58">
              <a:extLst>
                <a:ext uri="{FF2B5EF4-FFF2-40B4-BE49-F238E27FC236}">
                  <a16:creationId xmlns:a16="http://schemas.microsoft.com/office/drawing/2014/main" id="{0A4A577D-17EF-DFEC-1883-896E9ED125CB}"/>
                </a:ext>
              </a:extLst>
            </xdr:cNvPr>
            <xdr:cNvSpPr/>
          </xdr:nvSpPr>
          <xdr:spPr>
            <a:xfrm>
              <a:off x="2190749"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estás intentando encontrar.</a:t>
              </a:r>
            </a:p>
          </xdr:txBody>
        </xdr:sp>
        <xdr:pic>
          <xdr:nvPicPr>
            <xdr:cNvPr id="60" name="Gráfico 59" descr="Information con relleno sólido">
              <a:extLst>
                <a:ext uri="{FF2B5EF4-FFF2-40B4-BE49-F238E27FC236}">
                  <a16:creationId xmlns:a16="http://schemas.microsoft.com/office/drawing/2014/main" id="{CE3D704C-B2C9-EEF9-BFFF-1D3CD09EBF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28850" y="2876550"/>
              <a:ext cx="161925" cy="161925"/>
            </a:xfrm>
            <a:prstGeom prst="rect">
              <a:avLst/>
            </a:prstGeom>
          </xdr:spPr>
        </xdr:pic>
        <xdr:sp macro="" textlink="">
          <xdr:nvSpPr>
            <xdr:cNvPr id="61" name="Rectángulo: esquinas redondeadas 60">
              <a:extLst>
                <a:ext uri="{FF2B5EF4-FFF2-40B4-BE49-F238E27FC236}">
                  <a16:creationId xmlns:a16="http://schemas.microsoft.com/office/drawing/2014/main" id="{4670FC04-9944-4145-ECC2-5918FF1090FB}"/>
                </a:ext>
              </a:extLst>
            </xdr:cNvPr>
            <xdr:cNvSpPr/>
          </xdr:nvSpPr>
          <xdr:spPr>
            <a:xfrm>
              <a:off x="45434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donde Excel buscará el vector de comparación</a:t>
              </a:r>
            </a:p>
          </xdr:txBody>
        </xdr:sp>
        <xdr:pic>
          <xdr:nvPicPr>
            <xdr:cNvPr id="62" name="Gráfico 61" descr="Information con relleno sólido">
              <a:extLst>
                <a:ext uri="{FF2B5EF4-FFF2-40B4-BE49-F238E27FC236}">
                  <a16:creationId xmlns:a16="http://schemas.microsoft.com/office/drawing/2014/main" id="{12D03201-DE33-D329-7CC2-23F79487A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81525" y="2867025"/>
              <a:ext cx="161925" cy="161925"/>
            </a:xfrm>
            <a:prstGeom prst="rect">
              <a:avLst/>
            </a:prstGeom>
          </xdr:spPr>
        </xdr:pic>
        <xdr:sp macro="" textlink="">
          <xdr:nvSpPr>
            <xdr:cNvPr id="63" name="Rectángulo: esquinas redondeadas 62">
              <a:extLst>
                <a:ext uri="{FF2B5EF4-FFF2-40B4-BE49-F238E27FC236}">
                  <a16:creationId xmlns:a16="http://schemas.microsoft.com/office/drawing/2014/main" id="{78B6F50A-E06F-BB64-6841-4BE40FE0F110}"/>
                </a:ext>
              </a:extLst>
            </xdr:cNvPr>
            <xdr:cNvSpPr/>
          </xdr:nvSpPr>
          <xdr:spPr>
            <a:xfrm>
              <a:off x="6791324" y="2847975"/>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de donde se obtendrá el valor resultante. Si se omite, Excel usará vector de comparación como el rango de resultados.</a:t>
              </a:r>
            </a:p>
          </xdr:txBody>
        </xdr:sp>
        <xdr:pic>
          <xdr:nvPicPr>
            <xdr:cNvPr id="64" name="Gráfico 63" descr="Information con relleno sólido">
              <a:extLst>
                <a:ext uri="{FF2B5EF4-FFF2-40B4-BE49-F238E27FC236}">
                  <a16:creationId xmlns:a16="http://schemas.microsoft.com/office/drawing/2014/main" id="{7A54AA32-E854-0F3E-986E-1AE4ED63C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829425" y="2857500"/>
              <a:ext cx="161925" cy="161925"/>
            </a:xfrm>
            <a:prstGeom prst="rect">
              <a:avLst/>
            </a:prstGeom>
          </xdr:spPr>
        </xdr:pic>
      </xdr:grpSp>
    </xdr:grpSp>
    <xdr:clientData/>
  </xdr:twoCellAnchor>
  <xdr:twoCellAnchor editAs="oneCell">
    <xdr:from>
      <xdr:col>0</xdr:col>
      <xdr:colOff>229961</xdr:colOff>
      <xdr:row>14</xdr:row>
      <xdr:rowOff>127226</xdr:rowOff>
    </xdr:from>
    <xdr:to>
      <xdr:col>7</xdr:col>
      <xdr:colOff>77563</xdr:colOff>
      <xdr:row>19</xdr:row>
      <xdr:rowOff>70436</xdr:rowOff>
    </xdr:to>
    <xdr:grpSp>
      <xdr:nvGrpSpPr>
        <xdr:cNvPr id="90" name="Grupo 89">
          <a:extLst>
            <a:ext uri="{FF2B5EF4-FFF2-40B4-BE49-F238E27FC236}">
              <a16:creationId xmlns:a16="http://schemas.microsoft.com/office/drawing/2014/main" id="{B6D9BA9F-CA0C-3E26-6F70-D958829E936F}"/>
            </a:ext>
          </a:extLst>
        </xdr:cNvPr>
        <xdr:cNvGrpSpPr/>
      </xdr:nvGrpSpPr>
      <xdr:grpSpPr>
        <a:xfrm>
          <a:off x="229961" y="2603726"/>
          <a:ext cx="5753102" cy="827674"/>
          <a:chOff x="229961" y="3365726"/>
          <a:chExt cx="6800852" cy="1099817"/>
        </a:xfrm>
      </xdr:grpSpPr>
      <xdr:grpSp>
        <xdr:nvGrpSpPr>
          <xdr:cNvPr id="38" name="Grupo 37">
            <a:extLst>
              <a:ext uri="{FF2B5EF4-FFF2-40B4-BE49-F238E27FC236}">
                <a16:creationId xmlns:a16="http://schemas.microsoft.com/office/drawing/2014/main" id="{C0514C95-69B5-C701-A64A-B9AE31AD75C6}"/>
              </a:ext>
            </a:extLst>
          </xdr:cNvPr>
          <xdr:cNvGrpSpPr/>
        </xdr:nvGrpSpPr>
        <xdr:grpSpPr>
          <a:xfrm>
            <a:off x="229961" y="3365726"/>
            <a:ext cx="6800852" cy="355148"/>
            <a:chOff x="304800" y="1466850"/>
            <a:chExt cx="6781802" cy="352426"/>
          </a:xfrm>
        </xdr:grpSpPr>
        <xdr:sp macro="" textlink="">
          <xdr:nvSpPr>
            <xdr:cNvPr id="27" name="Rectángulo: esquinas redondeadas 26">
              <a:extLst>
                <a:ext uri="{FF2B5EF4-FFF2-40B4-BE49-F238E27FC236}">
                  <a16:creationId xmlns:a16="http://schemas.microsoft.com/office/drawing/2014/main" id="{C5BBC0AE-2DE1-E0EC-F9B1-1AFF40A987CC}"/>
                </a:ext>
              </a:extLst>
            </xdr:cNvPr>
            <xdr:cNvSpPr/>
          </xdr:nvSpPr>
          <xdr:spPr>
            <a:xfrm>
              <a:off x="304800" y="1466850"/>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8" name="Rectángulo: esquinas redondeadas 27">
              <a:extLst>
                <a:ext uri="{FF2B5EF4-FFF2-40B4-BE49-F238E27FC236}">
                  <a16:creationId xmlns:a16="http://schemas.microsoft.com/office/drawing/2014/main" id="{EF6A3B18-4647-FB99-D5E6-F2395C5C5BD2}"/>
                </a:ext>
              </a:extLst>
            </xdr:cNvPr>
            <xdr:cNvSpPr/>
          </xdr:nvSpPr>
          <xdr:spPr>
            <a:xfrm>
              <a:off x="752474" y="1466850"/>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29" name="Rectángulo: esquinas redondeadas 28">
              <a:extLst>
                <a:ext uri="{FF2B5EF4-FFF2-40B4-BE49-F238E27FC236}">
                  <a16:creationId xmlns:a16="http://schemas.microsoft.com/office/drawing/2014/main" id="{7C593C93-D5A0-48F2-7AE8-AEEE35701E09}"/>
                </a:ext>
              </a:extLst>
            </xdr:cNvPr>
            <xdr:cNvSpPr/>
          </xdr:nvSpPr>
          <xdr:spPr>
            <a:xfrm>
              <a:off x="19240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0" name="Rectángulo: esquinas redondeadas 29">
              <a:extLst>
                <a:ext uri="{FF2B5EF4-FFF2-40B4-BE49-F238E27FC236}">
                  <a16:creationId xmlns:a16="http://schemas.microsoft.com/office/drawing/2014/main" id="{93AE26E9-7008-E0B5-45CE-A96577F8AE93}"/>
                </a:ext>
              </a:extLst>
            </xdr:cNvPr>
            <xdr:cNvSpPr/>
          </xdr:nvSpPr>
          <xdr:spPr>
            <a:xfrm>
              <a:off x="2352675"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31" name="Rectángulo: esquinas redondeadas 30">
              <a:extLst>
                <a:ext uri="{FF2B5EF4-FFF2-40B4-BE49-F238E27FC236}">
                  <a16:creationId xmlns:a16="http://schemas.microsoft.com/office/drawing/2014/main" id="{4B7DE82A-6006-855F-D7F2-432345A95432}"/>
                </a:ext>
              </a:extLst>
            </xdr:cNvPr>
            <xdr:cNvSpPr/>
          </xdr:nvSpPr>
          <xdr:spPr>
            <a:xfrm>
              <a:off x="4705350" y="1466850"/>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33" name="Rectángulo: esquinas redondeadas 32">
              <a:extLst>
                <a:ext uri="{FF2B5EF4-FFF2-40B4-BE49-F238E27FC236}">
                  <a16:creationId xmlns:a16="http://schemas.microsoft.com/office/drawing/2014/main" id="{40F3A533-3630-C0B9-6B30-54583F0845AC}"/>
                </a:ext>
              </a:extLst>
            </xdr:cNvPr>
            <xdr:cNvSpPr/>
          </xdr:nvSpPr>
          <xdr:spPr>
            <a:xfrm>
              <a:off x="6762750" y="1466850"/>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34" name="Rectángulo: esquinas redondeadas 33">
              <a:extLst>
                <a:ext uri="{FF2B5EF4-FFF2-40B4-BE49-F238E27FC236}">
                  <a16:creationId xmlns:a16="http://schemas.microsoft.com/office/drawing/2014/main" id="{873C9DA5-7547-F5EF-2F90-9EB0053ECFB5}"/>
                </a:ext>
              </a:extLst>
            </xdr:cNvPr>
            <xdr:cNvSpPr/>
          </xdr:nvSpPr>
          <xdr:spPr>
            <a:xfrm>
              <a:off x="4419600" y="1466850"/>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76" name="Rectángulo: esquinas redondeadas 75">
            <a:extLst>
              <a:ext uri="{FF2B5EF4-FFF2-40B4-BE49-F238E27FC236}">
                <a16:creationId xmlns:a16="http://schemas.microsoft.com/office/drawing/2014/main" id="{C233E0E4-F4BD-5210-26CB-576BD493025F}"/>
              </a:ext>
            </a:extLst>
          </xdr:cNvPr>
          <xdr:cNvSpPr/>
        </xdr:nvSpPr>
        <xdr:spPr>
          <a:xfrm>
            <a:off x="2288721"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estás intentando encontrar.</a:t>
            </a:r>
          </a:p>
        </xdr:txBody>
      </xdr:sp>
      <xdr:pic>
        <xdr:nvPicPr>
          <xdr:cNvPr id="77" name="Gráfico 76" descr="Information con relleno sólido">
            <a:extLst>
              <a:ext uri="{FF2B5EF4-FFF2-40B4-BE49-F238E27FC236}">
                <a16:creationId xmlns:a16="http://schemas.microsoft.com/office/drawing/2014/main" id="{43797D2D-48A9-3AB0-B8D7-3B088AB8A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26822" y="3882118"/>
            <a:ext cx="161925" cy="161925"/>
          </a:xfrm>
          <a:prstGeom prst="rect">
            <a:avLst/>
          </a:prstGeom>
        </xdr:spPr>
      </xdr:pic>
      <xdr:sp macro="" textlink="">
        <xdr:nvSpPr>
          <xdr:cNvPr id="78" name="Rectángulo: esquinas redondeadas 77">
            <a:extLst>
              <a:ext uri="{FF2B5EF4-FFF2-40B4-BE49-F238E27FC236}">
                <a16:creationId xmlns:a16="http://schemas.microsoft.com/office/drawing/2014/main" id="{66342451-CE11-A3A2-67D7-A959D5E70D2A}"/>
              </a:ext>
            </a:extLst>
          </xdr:cNvPr>
          <xdr:cNvSpPr/>
        </xdr:nvSpPr>
        <xdr:spPr>
          <a:xfrm>
            <a:off x="4641396" y="3853543"/>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donde Excel buscará el vector de comparación</a:t>
            </a:r>
          </a:p>
        </xdr:txBody>
      </xdr:sp>
      <xdr:pic>
        <xdr:nvPicPr>
          <xdr:cNvPr id="79" name="Gráfico 78" descr="Information con relleno sólido">
            <a:extLst>
              <a:ext uri="{FF2B5EF4-FFF2-40B4-BE49-F238E27FC236}">
                <a16:creationId xmlns:a16="http://schemas.microsoft.com/office/drawing/2014/main" id="{6890A50F-4B87-8B6A-36C7-655A3F07B6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79497" y="3872593"/>
            <a:ext cx="161925" cy="161925"/>
          </a:xfrm>
          <a:prstGeom prst="rect">
            <a:avLst/>
          </a:prstGeom>
        </xdr:spPr>
      </xdr:pic>
    </xdr:grpSp>
    <xdr:clientData/>
  </xdr:twoCellAnchor>
  <xdr:twoCellAnchor editAs="oneCell">
    <xdr:from>
      <xdr:col>0</xdr:col>
      <xdr:colOff>243568</xdr:colOff>
      <xdr:row>21</xdr:row>
      <xdr:rowOff>160903</xdr:rowOff>
    </xdr:from>
    <xdr:to>
      <xdr:col>4</xdr:col>
      <xdr:colOff>710295</xdr:colOff>
      <xdr:row>26</xdr:row>
      <xdr:rowOff>139832</xdr:rowOff>
    </xdr:to>
    <xdr:grpSp>
      <xdr:nvGrpSpPr>
        <xdr:cNvPr id="89" name="Grupo 88">
          <a:extLst>
            <a:ext uri="{FF2B5EF4-FFF2-40B4-BE49-F238E27FC236}">
              <a16:creationId xmlns:a16="http://schemas.microsoft.com/office/drawing/2014/main" id="{FF423B76-36A6-4CC1-E833-D557CEC22CEE}"/>
            </a:ext>
          </a:extLst>
        </xdr:cNvPr>
        <xdr:cNvGrpSpPr/>
      </xdr:nvGrpSpPr>
      <xdr:grpSpPr>
        <a:xfrm>
          <a:off x="243568" y="3875653"/>
          <a:ext cx="3841298" cy="863393"/>
          <a:chOff x="243568" y="5018653"/>
          <a:chExt cx="4440013" cy="1135536"/>
        </a:xfrm>
      </xdr:grpSpPr>
      <xdr:grpSp>
        <xdr:nvGrpSpPr>
          <xdr:cNvPr id="47" name="Grupo 46">
            <a:extLst>
              <a:ext uri="{FF2B5EF4-FFF2-40B4-BE49-F238E27FC236}">
                <a16:creationId xmlns:a16="http://schemas.microsoft.com/office/drawing/2014/main" id="{94CD6A92-5592-F92E-E362-47D54E5BDEBD}"/>
              </a:ext>
            </a:extLst>
          </xdr:cNvPr>
          <xdr:cNvGrpSpPr/>
        </xdr:nvGrpSpPr>
        <xdr:grpSpPr>
          <a:xfrm>
            <a:off x="243568" y="5018653"/>
            <a:ext cx="4440013" cy="355148"/>
            <a:chOff x="276225" y="2009775"/>
            <a:chExt cx="4429127" cy="352426"/>
          </a:xfrm>
        </xdr:grpSpPr>
        <xdr:sp macro="" textlink="">
          <xdr:nvSpPr>
            <xdr:cNvPr id="40" name="Rectángulo: esquinas redondeadas 39">
              <a:extLst>
                <a:ext uri="{FF2B5EF4-FFF2-40B4-BE49-F238E27FC236}">
                  <a16:creationId xmlns:a16="http://schemas.microsoft.com/office/drawing/2014/main" id="{730B5278-5341-68DC-5054-A1F9E8D06378}"/>
                </a:ext>
              </a:extLst>
            </xdr:cNvPr>
            <xdr:cNvSpPr/>
          </xdr:nvSpPr>
          <xdr:spPr>
            <a:xfrm>
              <a:off x="276225" y="200977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1" name="Rectángulo: esquinas redondeadas 40">
              <a:extLst>
                <a:ext uri="{FF2B5EF4-FFF2-40B4-BE49-F238E27FC236}">
                  <a16:creationId xmlns:a16="http://schemas.microsoft.com/office/drawing/2014/main" id="{C3C54348-C012-A9A3-AEF9-1A7ABF150EAC}"/>
                </a:ext>
              </a:extLst>
            </xdr:cNvPr>
            <xdr:cNvSpPr/>
          </xdr:nvSpPr>
          <xdr:spPr>
            <a:xfrm>
              <a:off x="728963" y="200977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42" name="Rectángulo: esquinas redondeadas 41">
              <a:extLst>
                <a:ext uri="{FF2B5EF4-FFF2-40B4-BE49-F238E27FC236}">
                  <a16:creationId xmlns:a16="http://schemas.microsoft.com/office/drawing/2014/main" id="{1119FF89-C000-BC8C-A202-757D73C319C1}"/>
                </a:ext>
              </a:extLst>
            </xdr:cNvPr>
            <xdr:cNvSpPr/>
          </xdr:nvSpPr>
          <xdr:spPr>
            <a:xfrm>
              <a:off x="1915126"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43" name="Rectángulo: esquinas redondeadas 42">
              <a:extLst>
                <a:ext uri="{FF2B5EF4-FFF2-40B4-BE49-F238E27FC236}">
                  <a16:creationId xmlns:a16="http://schemas.microsoft.com/office/drawing/2014/main" id="{6892CF05-7807-A46F-2997-1624AB051943}"/>
                </a:ext>
              </a:extLst>
            </xdr:cNvPr>
            <xdr:cNvSpPr/>
          </xdr:nvSpPr>
          <xdr:spPr>
            <a:xfrm>
              <a:off x="2320239" y="200977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45" name="Rectángulo: esquinas redondeadas 44">
              <a:extLst>
                <a:ext uri="{FF2B5EF4-FFF2-40B4-BE49-F238E27FC236}">
                  <a16:creationId xmlns:a16="http://schemas.microsoft.com/office/drawing/2014/main" id="{1C3B866C-3140-0206-AF4E-564E6DDCF028}"/>
                </a:ext>
              </a:extLst>
            </xdr:cNvPr>
            <xdr:cNvSpPr/>
          </xdr:nvSpPr>
          <xdr:spPr>
            <a:xfrm>
              <a:off x="4381500" y="200977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83" name="Rectángulo: esquinas redondeadas 82">
            <a:extLst>
              <a:ext uri="{FF2B5EF4-FFF2-40B4-BE49-F238E27FC236}">
                <a16:creationId xmlns:a16="http://schemas.microsoft.com/office/drawing/2014/main" id="{70C00A29-2A24-70CB-D626-1AB2DB6B402F}"/>
              </a:ext>
            </a:extLst>
          </xdr:cNvPr>
          <xdr:cNvSpPr/>
        </xdr:nvSpPr>
        <xdr:spPr>
          <a:xfrm>
            <a:off x="2311854" y="554218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estás intentando encontrar.</a:t>
            </a:r>
          </a:p>
        </xdr:txBody>
      </xdr:sp>
      <xdr:pic>
        <xdr:nvPicPr>
          <xdr:cNvPr id="84" name="Gráfico 83" descr="Information con relleno sólido">
            <a:extLst>
              <a:ext uri="{FF2B5EF4-FFF2-40B4-BE49-F238E27FC236}">
                <a16:creationId xmlns:a16="http://schemas.microsoft.com/office/drawing/2014/main" id="{B7E4085C-EE9C-FBCB-525F-F306D1DD87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49955" y="5570764"/>
            <a:ext cx="161925" cy="161925"/>
          </a:xfrm>
          <a:prstGeom prst="rect">
            <a:avLst/>
          </a:prstGeom>
        </xdr:spPr>
      </xdr:pic>
    </xdr:grpSp>
    <xdr:clientData/>
  </xdr:twoCellAnchor>
  <xdr:twoCellAnchor editAs="oneCell">
    <xdr:from>
      <xdr:col>0</xdr:col>
      <xdr:colOff>257175</xdr:colOff>
      <xdr:row>7</xdr:row>
      <xdr:rowOff>145256</xdr:rowOff>
    </xdr:from>
    <xdr:to>
      <xdr:col>11</xdr:col>
      <xdr:colOff>742952</xdr:colOff>
      <xdr:row>12</xdr:row>
      <xdr:rowOff>97652</xdr:rowOff>
    </xdr:to>
    <xdr:grpSp>
      <xdr:nvGrpSpPr>
        <xdr:cNvPr id="93" name="Grupo 92">
          <a:extLst>
            <a:ext uri="{FF2B5EF4-FFF2-40B4-BE49-F238E27FC236}">
              <a16:creationId xmlns:a16="http://schemas.microsoft.com/office/drawing/2014/main" id="{3B8E18C0-2C86-4F3A-DF5D-526D2E0EEC30}"/>
            </a:ext>
          </a:extLst>
        </xdr:cNvPr>
        <xdr:cNvGrpSpPr/>
      </xdr:nvGrpSpPr>
      <xdr:grpSpPr>
        <a:xfrm>
          <a:off x="257175" y="1383506"/>
          <a:ext cx="9765848" cy="836860"/>
          <a:chOff x="257175" y="1764506"/>
          <a:chExt cx="11412313" cy="1109003"/>
        </a:xfrm>
      </xdr:grpSpPr>
      <xdr:grpSp>
        <xdr:nvGrpSpPr>
          <xdr:cNvPr id="25" name="Grupo 24">
            <a:extLst>
              <a:ext uri="{FF2B5EF4-FFF2-40B4-BE49-F238E27FC236}">
                <a16:creationId xmlns:a16="http://schemas.microsoft.com/office/drawing/2014/main" id="{1BD03044-6DF9-7056-CB89-9C90F633FA13}"/>
              </a:ext>
            </a:extLst>
          </xdr:cNvPr>
          <xdr:cNvGrpSpPr/>
        </xdr:nvGrpSpPr>
        <xdr:grpSpPr>
          <a:xfrm>
            <a:off x="257175" y="1764506"/>
            <a:ext cx="11412313" cy="357869"/>
            <a:chOff x="295275" y="923925"/>
            <a:chExt cx="11382377" cy="352426"/>
          </a:xfrm>
        </xdr:grpSpPr>
        <xdr:sp macro="" textlink="">
          <xdr:nvSpPr>
            <xdr:cNvPr id="13" name="Rectángulo: esquinas redondeadas 12">
              <a:extLst>
                <a:ext uri="{FF2B5EF4-FFF2-40B4-BE49-F238E27FC236}">
                  <a16:creationId xmlns:a16="http://schemas.microsoft.com/office/drawing/2014/main" id="{E269F911-5EF5-447C-2BD5-ABB8ED052CAF}"/>
                </a:ext>
              </a:extLst>
            </xdr:cNvPr>
            <xdr:cNvSpPr/>
          </xdr:nvSpPr>
          <xdr:spPr>
            <a:xfrm>
              <a:off x="295275" y="923925"/>
              <a:ext cx="3714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4" name="Rectángulo: esquinas redondeadas 13">
              <a:extLst>
                <a:ext uri="{FF2B5EF4-FFF2-40B4-BE49-F238E27FC236}">
                  <a16:creationId xmlns:a16="http://schemas.microsoft.com/office/drawing/2014/main" id="{11C4947C-D686-1630-00FE-10038C0430E7}"/>
                </a:ext>
              </a:extLst>
            </xdr:cNvPr>
            <xdr:cNvSpPr/>
          </xdr:nvSpPr>
          <xdr:spPr>
            <a:xfrm>
              <a:off x="742949" y="923925"/>
              <a:ext cx="1104901" cy="352426"/>
            </a:xfrm>
            <a:prstGeom prst="roundRect">
              <a:avLst/>
            </a:prstGeom>
            <a:solidFill>
              <a:srgbClr val="00B0F0"/>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BUSCAR</a:t>
              </a:r>
            </a:p>
          </xdr:txBody>
        </xdr:sp>
        <xdr:sp macro="" textlink="">
          <xdr:nvSpPr>
            <xdr:cNvPr id="15" name="Rectángulo: esquinas redondeadas 14">
              <a:extLst>
                <a:ext uri="{FF2B5EF4-FFF2-40B4-BE49-F238E27FC236}">
                  <a16:creationId xmlns:a16="http://schemas.microsoft.com/office/drawing/2014/main" id="{AAC0A5D6-8653-BF1F-21DD-880DFEA04A9F}"/>
                </a:ext>
              </a:extLst>
            </xdr:cNvPr>
            <xdr:cNvSpPr/>
          </xdr:nvSpPr>
          <xdr:spPr>
            <a:xfrm>
              <a:off x="1914525"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16" name="Rectángulo: esquinas redondeadas 15">
              <a:extLst>
                <a:ext uri="{FF2B5EF4-FFF2-40B4-BE49-F238E27FC236}">
                  <a16:creationId xmlns:a16="http://schemas.microsoft.com/office/drawing/2014/main" id="{AF0BB225-79BD-5DC5-DC9D-CD9A766F5E2E}"/>
                </a:ext>
              </a:extLst>
            </xdr:cNvPr>
            <xdr:cNvSpPr/>
          </xdr:nvSpPr>
          <xdr:spPr>
            <a:xfrm>
              <a:off x="23431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17" name="Rectángulo: esquinas redondeadas 16">
              <a:extLst>
                <a:ext uri="{FF2B5EF4-FFF2-40B4-BE49-F238E27FC236}">
                  <a16:creationId xmlns:a16="http://schemas.microsoft.com/office/drawing/2014/main" id="{9BA331A6-10C3-0852-8D88-742F7A63FE46}"/>
                </a:ext>
              </a:extLst>
            </xdr:cNvPr>
            <xdr:cNvSpPr/>
          </xdr:nvSpPr>
          <xdr:spPr>
            <a:xfrm>
              <a:off x="46958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18" name="Rectángulo: esquinas redondeadas 17">
              <a:extLst>
                <a:ext uri="{FF2B5EF4-FFF2-40B4-BE49-F238E27FC236}">
                  <a16:creationId xmlns:a16="http://schemas.microsoft.com/office/drawing/2014/main" id="{9D1F35C5-A3C8-47D5-2167-132EFB95D617}"/>
                </a:ext>
              </a:extLst>
            </xdr:cNvPr>
            <xdr:cNvSpPr/>
          </xdr:nvSpPr>
          <xdr:spPr>
            <a:xfrm>
              <a:off x="6953250"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19" name="Rectángulo: esquinas redondeadas 18">
              <a:extLst>
                <a:ext uri="{FF2B5EF4-FFF2-40B4-BE49-F238E27FC236}">
                  <a16:creationId xmlns:a16="http://schemas.microsoft.com/office/drawing/2014/main" id="{AB8B95E7-9B92-4358-30F5-CB653BFE0013}"/>
                </a:ext>
              </a:extLst>
            </xdr:cNvPr>
            <xdr:cNvSpPr/>
          </xdr:nvSpPr>
          <xdr:spPr>
            <a:xfrm>
              <a:off x="11353800" y="923925"/>
              <a:ext cx="323852"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0" name="Rectángulo: esquinas redondeadas 19">
              <a:extLst>
                <a:ext uri="{FF2B5EF4-FFF2-40B4-BE49-F238E27FC236}">
                  <a16:creationId xmlns:a16="http://schemas.microsoft.com/office/drawing/2014/main" id="{F3652BB8-A105-4428-CFC7-509DF37505FC}"/>
                </a:ext>
              </a:extLst>
            </xdr:cNvPr>
            <xdr:cNvSpPr/>
          </xdr:nvSpPr>
          <xdr:spPr>
            <a:xfrm>
              <a:off x="44100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1" name="Rectángulo: esquinas redondeadas 20">
              <a:extLst>
                <a:ext uri="{FF2B5EF4-FFF2-40B4-BE49-F238E27FC236}">
                  <a16:creationId xmlns:a16="http://schemas.microsoft.com/office/drawing/2014/main" id="{2DC876CF-F7EA-3C44-A14D-E5EE8AB4432B}"/>
                </a:ext>
              </a:extLst>
            </xdr:cNvPr>
            <xdr:cNvSpPr/>
          </xdr:nvSpPr>
          <xdr:spPr>
            <a:xfrm>
              <a:off x="6724650"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sp macro="" textlink="">
          <xdr:nvSpPr>
            <xdr:cNvPr id="22" name="Rectángulo: esquinas redondeadas 21">
              <a:extLst>
                <a:ext uri="{FF2B5EF4-FFF2-40B4-BE49-F238E27FC236}">
                  <a16:creationId xmlns:a16="http://schemas.microsoft.com/office/drawing/2014/main" id="{22DC8C3A-9BEB-44CA-AD91-39E0E1C1B34B}"/>
                </a:ext>
              </a:extLst>
            </xdr:cNvPr>
            <xdr:cNvSpPr/>
          </xdr:nvSpPr>
          <xdr:spPr>
            <a:xfrm>
              <a:off x="9305925" y="923925"/>
              <a:ext cx="1980000" cy="352426"/>
            </a:xfrm>
            <a:prstGeom prst="roundRect">
              <a:avLst/>
            </a:prstGeom>
            <a:solidFill>
              <a:schemeClr val="bg1">
                <a:lumMod val="85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tx1"/>
                  </a:solidFill>
                  <a:latin typeface="Montserrat" panose="00000500000000000000" pitchFamily="2" charset="0"/>
                  <a:ea typeface="+mn-ea"/>
                  <a:cs typeface="+mn-cs"/>
                </a:rPr>
                <a:t>BUSCAR</a:t>
              </a:r>
            </a:p>
          </xdr:txBody>
        </xdr:sp>
        <xdr:sp macro="" textlink="">
          <xdr:nvSpPr>
            <xdr:cNvPr id="24" name="Rectángulo: esquinas redondeadas 23">
              <a:extLst>
                <a:ext uri="{FF2B5EF4-FFF2-40B4-BE49-F238E27FC236}">
                  <a16:creationId xmlns:a16="http://schemas.microsoft.com/office/drawing/2014/main" id="{F9920923-A6CE-4138-A3D9-282E662F8DA4}"/>
                </a:ext>
              </a:extLst>
            </xdr:cNvPr>
            <xdr:cNvSpPr/>
          </xdr:nvSpPr>
          <xdr:spPr>
            <a:xfrm>
              <a:off x="9020175" y="923925"/>
              <a:ext cx="180976" cy="352426"/>
            </a:xfrm>
            <a:prstGeom prst="roundRect">
              <a:avLst/>
            </a:prstGeom>
            <a:solidFill>
              <a:schemeClr val="accent6"/>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000">
                  <a:solidFill>
                    <a:schemeClr val="bg1"/>
                  </a:solidFill>
                  <a:latin typeface="Montserrat" panose="00000500000000000000" pitchFamily="2" charset="0"/>
                  <a:ea typeface="+mn-ea"/>
                  <a:cs typeface="+mn-cs"/>
                </a:rPr>
                <a:t>,</a:t>
              </a:r>
            </a:p>
          </xdr:txBody>
        </xdr:sp>
      </xdr:grpSp>
      <xdr:sp macro="" textlink="">
        <xdr:nvSpPr>
          <xdr:cNvPr id="67" name="Rectángulo: esquinas redondeadas 66">
            <a:extLst>
              <a:ext uri="{FF2B5EF4-FFF2-40B4-BE49-F238E27FC236}">
                <a16:creationId xmlns:a16="http://schemas.microsoft.com/office/drawing/2014/main" id="{787B28ED-8ADD-B05E-4E4F-22056CC52453}"/>
              </a:ext>
            </a:extLst>
          </xdr:cNvPr>
          <xdr:cNvSpPr/>
        </xdr:nvSpPr>
        <xdr:spPr>
          <a:xfrm>
            <a:off x="2299607"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valor que estás intentando encontrar.</a:t>
            </a:r>
          </a:p>
        </xdr:txBody>
      </xdr:sp>
      <xdr:pic>
        <xdr:nvPicPr>
          <xdr:cNvPr id="68" name="Gráfico 67" descr="Information con relleno sólido">
            <a:extLst>
              <a:ext uri="{FF2B5EF4-FFF2-40B4-BE49-F238E27FC236}">
                <a16:creationId xmlns:a16="http://schemas.microsoft.com/office/drawing/2014/main" id="{2E0634EA-54E3-00C7-561B-405D41AD64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37708" y="2273754"/>
            <a:ext cx="161925" cy="161925"/>
          </a:xfrm>
          <a:prstGeom prst="rect">
            <a:avLst/>
          </a:prstGeom>
        </xdr:spPr>
      </xdr:pic>
      <xdr:sp macro="" textlink="">
        <xdr:nvSpPr>
          <xdr:cNvPr id="69" name="Rectángulo: esquinas redondeadas 68">
            <a:extLst>
              <a:ext uri="{FF2B5EF4-FFF2-40B4-BE49-F238E27FC236}">
                <a16:creationId xmlns:a16="http://schemas.microsoft.com/office/drawing/2014/main" id="{0C6788F4-CC01-2A9D-C228-62B636C2B08C}"/>
              </a:ext>
            </a:extLst>
          </xdr:cNvPr>
          <xdr:cNvSpPr/>
        </xdr:nvSpPr>
        <xdr:spPr>
          <a:xfrm>
            <a:off x="46522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donde Excel buscará el vector de comparación</a:t>
            </a:r>
          </a:p>
        </xdr:txBody>
      </xdr:sp>
      <xdr:pic>
        <xdr:nvPicPr>
          <xdr:cNvPr id="70" name="Gráfico 69" descr="Information con relleno sólido">
            <a:extLst>
              <a:ext uri="{FF2B5EF4-FFF2-40B4-BE49-F238E27FC236}">
                <a16:creationId xmlns:a16="http://schemas.microsoft.com/office/drawing/2014/main" id="{45992F47-02A9-2F35-D961-7B430339E6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90383" y="2264229"/>
            <a:ext cx="161925" cy="161925"/>
          </a:xfrm>
          <a:prstGeom prst="rect">
            <a:avLst/>
          </a:prstGeom>
        </xdr:spPr>
      </xdr:pic>
      <xdr:sp macro="" textlink="">
        <xdr:nvSpPr>
          <xdr:cNvPr id="71" name="Rectángulo: esquinas redondeadas 70">
            <a:extLst>
              <a:ext uri="{FF2B5EF4-FFF2-40B4-BE49-F238E27FC236}">
                <a16:creationId xmlns:a16="http://schemas.microsoft.com/office/drawing/2014/main" id="{33B21F38-7FCF-2C73-D012-1CA4266EDD40}"/>
              </a:ext>
            </a:extLst>
          </xdr:cNvPr>
          <xdr:cNvSpPr/>
        </xdr:nvSpPr>
        <xdr:spPr>
          <a:xfrm>
            <a:off x="6900182" y="224517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de donde se obtendrá el valor resultante. Si se omite, Excel usará vector de comparación como el rango de resultados.</a:t>
            </a:r>
          </a:p>
        </xdr:txBody>
      </xdr:sp>
      <xdr:pic>
        <xdr:nvPicPr>
          <xdr:cNvPr id="72" name="Gráfico 71" descr="Information con relleno sólido">
            <a:extLst>
              <a:ext uri="{FF2B5EF4-FFF2-40B4-BE49-F238E27FC236}">
                <a16:creationId xmlns:a16="http://schemas.microsoft.com/office/drawing/2014/main" id="{DE27EE5D-49A0-D133-0434-6ACB89F83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938283" y="2254704"/>
            <a:ext cx="161925" cy="161925"/>
          </a:xfrm>
          <a:prstGeom prst="rect">
            <a:avLst/>
          </a:prstGeom>
        </xdr:spPr>
      </xdr:pic>
      <xdr:sp macro="" textlink="">
        <xdr:nvSpPr>
          <xdr:cNvPr id="91" name="Rectángulo: esquinas redondeadas 90">
            <a:extLst>
              <a:ext uri="{FF2B5EF4-FFF2-40B4-BE49-F238E27FC236}">
                <a16:creationId xmlns:a16="http://schemas.microsoft.com/office/drawing/2014/main" id="{47E1D996-B000-41A1-BFB3-64C94BD9FB7C}"/>
              </a:ext>
            </a:extLst>
          </xdr:cNvPr>
          <xdr:cNvSpPr/>
        </xdr:nvSpPr>
        <xdr:spPr>
          <a:xfrm>
            <a:off x="9338577" y="2261509"/>
            <a:ext cx="1980000" cy="612000"/>
          </a:xfrm>
          <a:prstGeom prst="roundRect">
            <a:avLst/>
          </a:prstGeom>
          <a:solidFill>
            <a:schemeClr val="accent6">
              <a:lumMod val="20000"/>
              <a:lumOff val="80000"/>
            </a:schemeClr>
          </a:solidFill>
          <a:ln>
            <a:noFill/>
          </a:ln>
          <a:effectLst>
            <a:outerShdw blurRad="50800" dist="38100" dir="2700000" algn="tl" rotWithShape="0">
              <a:schemeClr val="bg1">
                <a:lumMod val="50000"/>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r"/>
            <a:r>
              <a:rPr lang="en-US" sz="600">
                <a:solidFill>
                  <a:schemeClr val="tx1"/>
                </a:solidFill>
                <a:latin typeface="Montserrat" panose="00000500000000000000" pitchFamily="2" charset="0"/>
                <a:ea typeface="+mn-ea"/>
                <a:cs typeface="+mn-cs"/>
              </a:rPr>
              <a:t>Es el rango de celdas de donde se obtendrá el valor resultante. Si se omite, Excel usará vector de comparación como el rango de resultados.</a:t>
            </a:r>
          </a:p>
        </xdr:txBody>
      </xdr:sp>
      <xdr:pic>
        <xdr:nvPicPr>
          <xdr:cNvPr id="92" name="Gráfico 91" descr="Information con relleno sólido">
            <a:extLst>
              <a:ext uri="{FF2B5EF4-FFF2-40B4-BE49-F238E27FC236}">
                <a16:creationId xmlns:a16="http://schemas.microsoft.com/office/drawing/2014/main" id="{3A959EDE-91C6-4665-BFB1-531A65BFB8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376678" y="2271034"/>
            <a:ext cx="161925" cy="161925"/>
          </a:xfrm>
          <a:prstGeom prst="rect">
            <a:avLst/>
          </a:prstGeom>
        </xdr:spPr>
      </xdr:pic>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5B9A-9FCA-4E80-9C4E-A9D4FE8DEF9C}">
  <dimension ref="B5:E31"/>
  <sheetViews>
    <sheetView showGridLines="0" workbookViewId="0">
      <pane ySplit="5" topLeftCell="A6" activePane="bottomLeft" state="frozen"/>
      <selection pane="bottomLeft" activeCell="E17" sqref="E17"/>
    </sheetView>
  </sheetViews>
  <sheetFormatPr baseColWidth="10" defaultRowHeight="14.25" x14ac:dyDescent="0.2"/>
  <cols>
    <col min="1" max="1" width="2.25" customWidth="1"/>
    <col min="2" max="2" width="10.125" bestFit="1" customWidth="1"/>
    <col min="3" max="3" width="28.75" bestFit="1" customWidth="1"/>
    <col min="4" max="4" width="60.25" bestFit="1" customWidth="1"/>
    <col min="5" max="5" width="9.875" customWidth="1"/>
  </cols>
  <sheetData>
    <row r="5" spans="2:5" ht="15" x14ac:dyDescent="0.25">
      <c r="B5" s="1" t="s">
        <v>70</v>
      </c>
      <c r="C5" s="1" t="s">
        <v>69</v>
      </c>
      <c r="D5" s="1" t="s">
        <v>24</v>
      </c>
      <c r="E5" s="1" t="s">
        <v>68</v>
      </c>
    </row>
    <row r="6" spans="2:5" x14ac:dyDescent="0.2">
      <c r="B6">
        <v>1</v>
      </c>
      <c r="C6" t="s">
        <v>28</v>
      </c>
      <c r="D6" t="s">
        <v>185</v>
      </c>
      <c r="E6" s="13" t="s">
        <v>280</v>
      </c>
    </row>
    <row r="7" spans="2:5" x14ac:dyDescent="0.2">
      <c r="B7">
        <v>1</v>
      </c>
      <c r="C7" t="s">
        <v>28</v>
      </c>
      <c r="D7" t="s">
        <v>26</v>
      </c>
      <c r="E7" s="13" t="s">
        <v>281</v>
      </c>
    </row>
    <row r="8" spans="2:5" x14ac:dyDescent="0.2">
      <c r="B8">
        <v>1</v>
      </c>
      <c r="C8" t="s">
        <v>28</v>
      </c>
      <c r="D8" t="s">
        <v>517</v>
      </c>
      <c r="E8" s="13" t="s">
        <v>282</v>
      </c>
    </row>
    <row r="9" spans="2:5" x14ac:dyDescent="0.2">
      <c r="B9">
        <v>1</v>
      </c>
      <c r="C9" t="s">
        <v>28</v>
      </c>
      <c r="D9" t="s">
        <v>67</v>
      </c>
      <c r="E9" s="13" t="s">
        <v>283</v>
      </c>
    </row>
    <row r="10" spans="2:5" x14ac:dyDescent="0.2">
      <c r="B10">
        <v>1</v>
      </c>
      <c r="C10" t="s">
        <v>28</v>
      </c>
      <c r="D10" t="s">
        <v>27</v>
      </c>
      <c r="E10" s="13" t="s">
        <v>284</v>
      </c>
    </row>
    <row r="11" spans="2:5" x14ac:dyDescent="0.2">
      <c r="B11">
        <v>1</v>
      </c>
      <c r="C11" t="s">
        <v>28</v>
      </c>
      <c r="D11" t="s">
        <v>29</v>
      </c>
      <c r="E11" s="13" t="s">
        <v>285</v>
      </c>
    </row>
    <row r="12" spans="2:5" x14ac:dyDescent="0.2">
      <c r="B12">
        <v>2</v>
      </c>
      <c r="C12" t="s">
        <v>30</v>
      </c>
      <c r="D12" t="s">
        <v>33</v>
      </c>
      <c r="E12" s="13" t="s">
        <v>286</v>
      </c>
    </row>
    <row r="13" spans="2:5" x14ac:dyDescent="0.2">
      <c r="B13">
        <v>2</v>
      </c>
      <c r="C13" t="s">
        <v>30</v>
      </c>
      <c r="D13" t="s">
        <v>711</v>
      </c>
      <c r="E13" s="13" t="s">
        <v>287</v>
      </c>
    </row>
    <row r="14" spans="2:5" x14ac:dyDescent="0.2">
      <c r="B14">
        <v>2</v>
      </c>
      <c r="C14" t="s">
        <v>30</v>
      </c>
      <c r="D14" t="s">
        <v>31</v>
      </c>
      <c r="E14" s="13" t="s">
        <v>288</v>
      </c>
    </row>
    <row r="15" spans="2:5" x14ac:dyDescent="0.2">
      <c r="B15">
        <v>2</v>
      </c>
      <c r="C15" t="s">
        <v>30</v>
      </c>
      <c r="D15" t="s">
        <v>32</v>
      </c>
      <c r="E15" s="13" t="s">
        <v>289</v>
      </c>
    </row>
    <row r="16" spans="2:5" x14ac:dyDescent="0.2">
      <c r="B16">
        <v>3</v>
      </c>
      <c r="C16" t="s">
        <v>37</v>
      </c>
      <c r="D16" t="s">
        <v>35</v>
      </c>
      <c r="E16" s="13" t="s">
        <v>290</v>
      </c>
    </row>
    <row r="17" spans="2:5" x14ac:dyDescent="0.2">
      <c r="B17">
        <v>3</v>
      </c>
      <c r="C17" t="s">
        <v>37</v>
      </c>
      <c r="D17" t="s">
        <v>34</v>
      </c>
      <c r="E17" s="13" t="s">
        <v>291</v>
      </c>
    </row>
    <row r="18" spans="2:5" x14ac:dyDescent="0.2">
      <c r="B18">
        <v>3</v>
      </c>
      <c r="C18" t="s">
        <v>37</v>
      </c>
      <c r="D18" t="s">
        <v>36</v>
      </c>
      <c r="E18" s="13" t="s">
        <v>292</v>
      </c>
    </row>
    <row r="19" spans="2:5" x14ac:dyDescent="0.2">
      <c r="B19">
        <v>4</v>
      </c>
      <c r="C19" t="s">
        <v>38</v>
      </c>
      <c r="D19" t="s">
        <v>42</v>
      </c>
      <c r="E19" s="13" t="s">
        <v>293</v>
      </c>
    </row>
    <row r="20" spans="2:5" x14ac:dyDescent="0.2">
      <c r="B20">
        <v>4</v>
      </c>
      <c r="C20" t="s">
        <v>38</v>
      </c>
      <c r="D20" t="s">
        <v>39</v>
      </c>
      <c r="E20" s="13" t="s">
        <v>294</v>
      </c>
    </row>
    <row r="21" spans="2:5" x14ac:dyDescent="0.2">
      <c r="B21">
        <v>4</v>
      </c>
      <c r="C21" t="s">
        <v>38</v>
      </c>
      <c r="D21" t="s">
        <v>40</v>
      </c>
      <c r="E21" s="13" t="s">
        <v>295</v>
      </c>
    </row>
    <row r="22" spans="2:5" x14ac:dyDescent="0.2">
      <c r="B22">
        <v>4</v>
      </c>
      <c r="C22" t="s">
        <v>38</v>
      </c>
      <c r="D22" t="s">
        <v>41</v>
      </c>
      <c r="E22" s="13" t="s">
        <v>296</v>
      </c>
    </row>
    <row r="23" spans="2:5" x14ac:dyDescent="0.2">
      <c r="B23">
        <v>5</v>
      </c>
      <c r="C23" t="s">
        <v>43</v>
      </c>
      <c r="D23" s="5" t="s">
        <v>44</v>
      </c>
      <c r="E23" s="13" t="s">
        <v>297</v>
      </c>
    </row>
    <row r="24" spans="2:5" x14ac:dyDescent="0.2">
      <c r="B24">
        <v>5</v>
      </c>
      <c r="C24" t="s">
        <v>43</v>
      </c>
      <c r="D24" s="6" t="s">
        <v>47</v>
      </c>
      <c r="E24" s="13" t="s">
        <v>298</v>
      </c>
    </row>
    <row r="25" spans="2:5" x14ac:dyDescent="0.2">
      <c r="B25">
        <v>5</v>
      </c>
      <c r="C25" t="s">
        <v>43</v>
      </c>
      <c r="D25" t="s">
        <v>46</v>
      </c>
      <c r="E25" s="13" t="s">
        <v>299</v>
      </c>
    </row>
    <row r="26" spans="2:5" x14ac:dyDescent="0.2">
      <c r="B26">
        <v>5</v>
      </c>
      <c r="C26" t="s">
        <v>43</v>
      </c>
      <c r="D26" t="s">
        <v>48</v>
      </c>
      <c r="E26" s="13" t="s">
        <v>300</v>
      </c>
    </row>
    <row r="27" spans="2:5" x14ac:dyDescent="0.2">
      <c r="B27">
        <v>6</v>
      </c>
      <c r="C27" t="s">
        <v>49</v>
      </c>
      <c r="D27" t="s">
        <v>52</v>
      </c>
      <c r="E27" s="13" t="s">
        <v>301</v>
      </c>
    </row>
    <row r="28" spans="2:5" x14ac:dyDescent="0.2">
      <c r="B28">
        <v>6</v>
      </c>
      <c r="C28" t="s">
        <v>49</v>
      </c>
      <c r="D28" t="s">
        <v>51</v>
      </c>
      <c r="E28" s="13" t="s">
        <v>302</v>
      </c>
    </row>
    <row r="29" spans="2:5" x14ac:dyDescent="0.2">
      <c r="B29">
        <v>7</v>
      </c>
      <c r="C29" t="s">
        <v>53</v>
      </c>
      <c r="D29" t="s">
        <v>66</v>
      </c>
      <c r="E29" s="13" t="s">
        <v>303</v>
      </c>
    </row>
    <row r="30" spans="2:5" x14ac:dyDescent="0.2">
      <c r="B30">
        <v>7</v>
      </c>
      <c r="C30" t="s">
        <v>53</v>
      </c>
      <c r="D30" t="s">
        <v>54</v>
      </c>
      <c r="E30" s="13" t="s">
        <v>304</v>
      </c>
    </row>
    <row r="31" spans="2:5" x14ac:dyDescent="0.2">
      <c r="B31">
        <v>8</v>
      </c>
      <c r="C31" t="s">
        <v>1087</v>
      </c>
      <c r="D31" t="s">
        <v>1206</v>
      </c>
      <c r="E31" s="13" t="s">
        <v>1204</v>
      </c>
    </row>
  </sheetData>
  <hyperlinks>
    <hyperlink ref="E23" location="M5_C1!A1" display="M5C1" xr:uid="{7FE14AC2-3D26-43FA-BA0C-515EF7C01EF1}"/>
    <hyperlink ref="E24" location="M5_C2!A1" display="M5C2" xr:uid="{C7B6D194-8E33-4C1E-87F7-A35B356DFC3D}"/>
    <hyperlink ref="E26" location="M5_C4!A1" display="M5C4" xr:uid="{A89F3E60-1B88-4DF6-879B-8251769B2C04}"/>
    <hyperlink ref="E25" location="M5_C3!A1" display="M5C3" xr:uid="{BC77FEC6-B18F-44E8-B85C-7F608950838A}"/>
    <hyperlink ref="E27" location="M6_C1!A1" display="M6C1" xr:uid="{0471FC47-1776-4580-84D7-7439C5AC1935}"/>
    <hyperlink ref="E28" location="M6_C2!A1" display="M6C2" xr:uid="{6E1CEACB-CE6A-4D39-A92C-54C59F8ACE84}"/>
    <hyperlink ref="E29" location="M7_C1!A1" display="M7C1" xr:uid="{52A47225-CAFF-4AFD-85C9-55C9851B49C5}"/>
    <hyperlink ref="E30" location="M7_C2!A1" display="M7C2" xr:uid="{1D3A28C0-900A-42BE-B658-D7CAFFF9BDDE}"/>
    <hyperlink ref="E22" location="M4_C4!A1" display="M4C4" xr:uid="{A30860A3-88FB-4440-B8B5-19C0A1C0AB25}"/>
    <hyperlink ref="E21" location="M4_C3!A1" display="M4C3" xr:uid="{F8A4631D-A2ED-4B0F-A014-66148B612D4B}"/>
    <hyperlink ref="E20" location="M4_C2!A1" display="M4C2" xr:uid="{D0C4FDC9-E92B-4DD8-BBEE-486E0D650D48}"/>
    <hyperlink ref="E19" location="M4_C1!A1" display="M4C1" xr:uid="{C5B0BF9D-5FC6-4F17-91B2-41F6D42C4DE8}"/>
    <hyperlink ref="E18" location="M3_C3!A1" display="M3C3" xr:uid="{7F2C44FF-ECB0-4213-AAFE-754276171A82}"/>
    <hyperlink ref="E17" location="M3_C2!A1" display="M3C2" xr:uid="{BECE4305-1571-4E8E-A613-96ABF3840CE4}"/>
    <hyperlink ref="E16" location="M3_C1!A1" display="M3C1" xr:uid="{CB1A0D90-6BB8-4D72-A09A-4ACBC61DB40C}"/>
    <hyperlink ref="E15" location="M2_C4!A1" display="M2C4" xr:uid="{D1A2B7B0-7EA4-47D5-AD9A-35B4EF5C8B42}"/>
    <hyperlink ref="E14" location="M2_C3!A1" display="M2C3" xr:uid="{D99A4069-0278-46FD-A337-E26042DA3B27}"/>
    <hyperlink ref="E13" location="M2_C2!A1" display="M2C2" xr:uid="{AF1995A6-82C8-4640-B410-717289259EB8}"/>
    <hyperlink ref="E12" location="M2_C1!A1" display="M2C1" xr:uid="{7818E8AE-7859-47B3-A52B-D00556E56857}"/>
    <hyperlink ref="E6" location="M1_C1!A1" display="M1C1" xr:uid="{300A835D-DFF9-4C58-AA6E-53CE89D01DD7}"/>
    <hyperlink ref="E7" location="M1_C2!A1" display="M1C2" xr:uid="{E7A344E9-1677-4085-98B9-D8EECE5DE7FA}"/>
    <hyperlink ref="E8" location="M1_C3!A1" display="M1C3" xr:uid="{E64D6DD6-995F-4E0D-A7FE-D11825C05E88}"/>
    <hyperlink ref="E9" location="M1_C4!A1" display="M1C4" xr:uid="{384A1041-0724-486E-89D2-F02B0E1F8769}"/>
    <hyperlink ref="E10" location="M1_C5!A1" display="M1C5" xr:uid="{DC700F96-96FE-448B-8C06-F62B78DEC5F2}"/>
    <hyperlink ref="E11" location="M1_C6!A1" display="M1C6" xr:uid="{812FF2AA-C257-445F-A193-4ECE0BF73859}"/>
    <hyperlink ref="E31" location="M8_C1!A1" display="M8C1" xr:uid="{71F64D9B-D7C3-4EBE-A00D-633735F954E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B2E9-AF19-4DDD-A17F-92C3F2208D9F}">
  <dimension ref="A5:I105"/>
  <sheetViews>
    <sheetView showGridLines="0" workbookViewId="0">
      <pane ySplit="5" topLeftCell="A6" activePane="bottomLeft" state="frozen"/>
      <selection pane="bottomLeft" activeCell="B4" sqref="B4"/>
    </sheetView>
  </sheetViews>
  <sheetFormatPr baseColWidth="10" defaultRowHeight="14.25" x14ac:dyDescent="0.2"/>
  <cols>
    <col min="1" max="1" width="1.25" customWidth="1"/>
    <col min="2" max="2" width="26.25" bestFit="1" customWidth="1"/>
    <col min="3" max="3" width="33.25" bestFit="1" customWidth="1"/>
    <col min="4" max="4" width="10.75" bestFit="1" customWidth="1"/>
    <col min="5" max="5" width="27.75" bestFit="1" customWidth="1"/>
    <col min="6" max="6" width="2.5" customWidth="1"/>
    <col min="7" max="7" width="27.75" bestFit="1" customWidth="1"/>
    <col min="8" max="8" width="6" bestFit="1" customWidth="1"/>
    <col min="9" max="9" width="7" customWidth="1"/>
  </cols>
  <sheetData>
    <row r="5" spans="1:9" ht="15" x14ac:dyDescent="0.2">
      <c r="A5" s="9"/>
      <c r="B5" s="10" t="s">
        <v>171</v>
      </c>
      <c r="C5" s="10" t="s">
        <v>172</v>
      </c>
      <c r="D5" s="10" t="s">
        <v>180</v>
      </c>
      <c r="E5" s="10" t="s">
        <v>178</v>
      </c>
      <c r="F5" s="9"/>
      <c r="G5" s="10" t="s">
        <v>178</v>
      </c>
      <c r="H5" s="10" t="s">
        <v>275</v>
      </c>
      <c r="I5" s="10" t="s">
        <v>279</v>
      </c>
    </row>
    <row r="6" spans="1:9" x14ac:dyDescent="0.2">
      <c r="B6" t="s">
        <v>71</v>
      </c>
      <c r="C6" t="s">
        <v>173</v>
      </c>
      <c r="D6" t="s">
        <v>181</v>
      </c>
      <c r="E6" t="s">
        <v>276</v>
      </c>
      <c r="G6" t="s">
        <v>276</v>
      </c>
      <c r="H6">
        <v>46</v>
      </c>
      <c r="I6" s="8">
        <v>0.46</v>
      </c>
    </row>
    <row r="7" spans="1:9" x14ac:dyDescent="0.2">
      <c r="B7" t="s">
        <v>72</v>
      </c>
      <c r="C7" t="s">
        <v>174</v>
      </c>
      <c r="D7" t="s">
        <v>181</v>
      </c>
      <c r="E7" t="s">
        <v>277</v>
      </c>
      <c r="G7" s="11" t="s">
        <v>25</v>
      </c>
      <c r="H7" s="11">
        <v>40</v>
      </c>
      <c r="I7" s="12">
        <v>0.40404040404040403</v>
      </c>
    </row>
    <row r="8" spans="1:9" x14ac:dyDescent="0.2">
      <c r="B8" t="s">
        <v>73</v>
      </c>
      <c r="C8" t="s">
        <v>175</v>
      </c>
      <c r="D8" t="s">
        <v>181</v>
      </c>
      <c r="E8" t="s">
        <v>276</v>
      </c>
      <c r="G8" t="s">
        <v>197</v>
      </c>
      <c r="H8">
        <v>4</v>
      </c>
      <c r="I8" s="8">
        <v>4.0816326530612242E-2</v>
      </c>
    </row>
    <row r="9" spans="1:9" x14ac:dyDescent="0.2">
      <c r="B9" t="s">
        <v>74</v>
      </c>
      <c r="C9" t="s">
        <v>176</v>
      </c>
      <c r="D9" t="s">
        <v>179</v>
      </c>
      <c r="E9" t="s">
        <v>25</v>
      </c>
      <c r="G9" t="s">
        <v>277</v>
      </c>
      <c r="H9">
        <v>7</v>
      </c>
      <c r="I9" s="8">
        <v>7.2164948453608241E-2</v>
      </c>
    </row>
    <row r="10" spans="1:9" x14ac:dyDescent="0.2">
      <c r="B10" t="s">
        <v>75</v>
      </c>
      <c r="C10" t="s">
        <v>177</v>
      </c>
      <c r="D10" t="s">
        <v>179</v>
      </c>
      <c r="E10" t="s">
        <v>25</v>
      </c>
      <c r="G10" t="s">
        <v>278</v>
      </c>
      <c r="H10">
        <v>2</v>
      </c>
      <c r="I10" s="8">
        <v>2.0833333333333332E-2</v>
      </c>
    </row>
    <row r="11" spans="1:9" x14ac:dyDescent="0.2">
      <c r="B11" t="s">
        <v>76</v>
      </c>
      <c r="C11" t="s">
        <v>182</v>
      </c>
      <c r="D11" t="s">
        <v>181</v>
      </c>
      <c r="E11" t="s">
        <v>276</v>
      </c>
      <c r="G11" t="s">
        <v>245</v>
      </c>
      <c r="H11">
        <v>1</v>
      </c>
      <c r="I11" s="8">
        <v>1.0526315789473684E-2</v>
      </c>
    </row>
    <row r="12" spans="1:9" x14ac:dyDescent="0.2">
      <c r="B12" t="s">
        <v>77</v>
      </c>
      <c r="C12" t="s">
        <v>183</v>
      </c>
      <c r="D12" t="s">
        <v>179</v>
      </c>
      <c r="E12" t="s">
        <v>25</v>
      </c>
    </row>
    <row r="13" spans="1:9" x14ac:dyDescent="0.2">
      <c r="B13" t="s">
        <v>78</v>
      </c>
      <c r="C13" t="s">
        <v>184</v>
      </c>
      <c r="D13" t="s">
        <v>179</v>
      </c>
      <c r="E13" t="s">
        <v>25</v>
      </c>
    </row>
    <row r="14" spans="1:9" x14ac:dyDescent="0.2">
      <c r="B14" t="s">
        <v>79</v>
      </c>
      <c r="C14" t="s">
        <v>46</v>
      </c>
      <c r="D14" t="s">
        <v>179</v>
      </c>
      <c r="E14" t="s">
        <v>25</v>
      </c>
    </row>
    <row r="15" spans="1:9" x14ac:dyDescent="0.2">
      <c r="B15" t="s">
        <v>80</v>
      </c>
      <c r="C15" t="s">
        <v>186</v>
      </c>
      <c r="D15" t="s">
        <v>181</v>
      </c>
      <c r="E15" t="s">
        <v>276</v>
      </c>
    </row>
    <row r="16" spans="1:9" x14ac:dyDescent="0.2">
      <c r="B16" t="s">
        <v>81</v>
      </c>
      <c r="C16" t="s">
        <v>187</v>
      </c>
      <c r="D16" t="s">
        <v>179</v>
      </c>
      <c r="E16" t="s">
        <v>25</v>
      </c>
    </row>
    <row r="17" spans="2:5" x14ac:dyDescent="0.2">
      <c r="B17" t="s">
        <v>82</v>
      </c>
      <c r="C17" t="s">
        <v>188</v>
      </c>
      <c r="D17" t="s">
        <v>181</v>
      </c>
      <c r="E17" t="s">
        <v>276</v>
      </c>
    </row>
    <row r="18" spans="2:5" x14ac:dyDescent="0.2">
      <c r="B18" t="s">
        <v>83</v>
      </c>
      <c r="C18" t="s">
        <v>191</v>
      </c>
      <c r="D18" t="s">
        <v>181</v>
      </c>
      <c r="E18" t="s">
        <v>276</v>
      </c>
    </row>
    <row r="19" spans="2:5" x14ac:dyDescent="0.2">
      <c r="B19" t="s">
        <v>84</v>
      </c>
      <c r="C19" t="s">
        <v>45</v>
      </c>
      <c r="D19" t="s">
        <v>179</v>
      </c>
      <c r="E19" t="s">
        <v>25</v>
      </c>
    </row>
    <row r="20" spans="2:5" x14ac:dyDescent="0.2">
      <c r="B20" t="s">
        <v>85</v>
      </c>
      <c r="C20" t="s">
        <v>189</v>
      </c>
      <c r="D20" t="s">
        <v>181</v>
      </c>
      <c r="E20" t="s">
        <v>276</v>
      </c>
    </row>
    <row r="21" spans="2:5" x14ac:dyDescent="0.2">
      <c r="B21" t="s">
        <v>86</v>
      </c>
      <c r="C21" t="s">
        <v>190</v>
      </c>
      <c r="D21" t="s">
        <v>181</v>
      </c>
      <c r="E21" t="s">
        <v>276</v>
      </c>
    </row>
    <row r="22" spans="2:5" x14ac:dyDescent="0.2">
      <c r="B22" t="s">
        <v>87</v>
      </c>
      <c r="C22" t="s">
        <v>192</v>
      </c>
      <c r="D22" t="s">
        <v>179</v>
      </c>
      <c r="E22" t="s">
        <v>25</v>
      </c>
    </row>
    <row r="23" spans="2:5" x14ac:dyDescent="0.2">
      <c r="B23" t="s">
        <v>88</v>
      </c>
      <c r="C23" t="s">
        <v>193</v>
      </c>
      <c r="D23" t="s">
        <v>179</v>
      </c>
      <c r="E23" t="s">
        <v>25</v>
      </c>
    </row>
    <row r="24" spans="2:5" x14ac:dyDescent="0.2">
      <c r="B24" t="s">
        <v>89</v>
      </c>
      <c r="C24" t="s">
        <v>194</v>
      </c>
      <c r="D24" t="s">
        <v>181</v>
      </c>
      <c r="E24" t="s">
        <v>276</v>
      </c>
    </row>
    <row r="25" spans="2:5" x14ac:dyDescent="0.2">
      <c r="B25" t="s">
        <v>90</v>
      </c>
      <c r="C25" t="s">
        <v>195</v>
      </c>
      <c r="D25" t="s">
        <v>179</v>
      </c>
      <c r="E25" t="s">
        <v>25</v>
      </c>
    </row>
    <row r="26" spans="2:5" x14ac:dyDescent="0.2">
      <c r="B26" t="s">
        <v>91</v>
      </c>
      <c r="C26" t="s">
        <v>196</v>
      </c>
      <c r="D26" t="s">
        <v>181</v>
      </c>
      <c r="E26" t="s">
        <v>276</v>
      </c>
    </row>
    <row r="27" spans="2:5" x14ac:dyDescent="0.2">
      <c r="B27" t="s">
        <v>92</v>
      </c>
      <c r="C27" t="s">
        <v>197</v>
      </c>
      <c r="D27" t="s">
        <v>181</v>
      </c>
      <c r="E27" t="s">
        <v>197</v>
      </c>
    </row>
    <row r="28" spans="2:5" x14ac:dyDescent="0.2">
      <c r="B28" t="s">
        <v>93</v>
      </c>
      <c r="C28" t="s">
        <v>198</v>
      </c>
      <c r="D28" t="s">
        <v>181</v>
      </c>
      <c r="E28" t="s">
        <v>276</v>
      </c>
    </row>
    <row r="29" spans="2:5" x14ac:dyDescent="0.2">
      <c r="B29" t="s">
        <v>94</v>
      </c>
      <c r="C29" t="s">
        <v>199</v>
      </c>
      <c r="D29" t="s">
        <v>179</v>
      </c>
      <c r="E29" t="s">
        <v>25</v>
      </c>
    </row>
    <row r="30" spans="2:5" x14ac:dyDescent="0.2">
      <c r="B30" t="s">
        <v>95</v>
      </c>
      <c r="C30" t="s">
        <v>200</v>
      </c>
      <c r="D30" t="s">
        <v>181</v>
      </c>
      <c r="E30" t="s">
        <v>276</v>
      </c>
    </row>
    <row r="31" spans="2:5" x14ac:dyDescent="0.2">
      <c r="B31" t="s">
        <v>96</v>
      </c>
      <c r="C31" t="s">
        <v>201</v>
      </c>
      <c r="D31" t="s">
        <v>179</v>
      </c>
      <c r="E31" t="s">
        <v>25</v>
      </c>
    </row>
    <row r="32" spans="2:5" x14ac:dyDescent="0.2">
      <c r="B32" t="s">
        <v>97</v>
      </c>
      <c r="C32" t="s">
        <v>202</v>
      </c>
      <c r="D32" t="s">
        <v>181</v>
      </c>
      <c r="E32" t="s">
        <v>276</v>
      </c>
    </row>
    <row r="33" spans="2:5" x14ac:dyDescent="0.2">
      <c r="B33" t="s">
        <v>98</v>
      </c>
      <c r="C33" t="s">
        <v>203</v>
      </c>
      <c r="D33" t="s">
        <v>181</v>
      </c>
      <c r="E33" t="s">
        <v>276</v>
      </c>
    </row>
    <row r="34" spans="2:5" x14ac:dyDescent="0.2">
      <c r="B34" t="s">
        <v>99</v>
      </c>
      <c r="C34" t="s">
        <v>204</v>
      </c>
      <c r="D34" t="s">
        <v>179</v>
      </c>
      <c r="E34" t="s">
        <v>25</v>
      </c>
    </row>
    <row r="35" spans="2:5" x14ac:dyDescent="0.2">
      <c r="B35" t="s">
        <v>100</v>
      </c>
      <c r="C35" t="s">
        <v>205</v>
      </c>
      <c r="D35" t="s">
        <v>179</v>
      </c>
      <c r="E35" t="s">
        <v>25</v>
      </c>
    </row>
    <row r="36" spans="2:5" x14ac:dyDescent="0.2">
      <c r="B36" t="s">
        <v>101</v>
      </c>
      <c r="C36" t="s">
        <v>50</v>
      </c>
      <c r="D36" t="s">
        <v>179</v>
      </c>
      <c r="E36" t="s">
        <v>25</v>
      </c>
    </row>
    <row r="37" spans="2:5" x14ac:dyDescent="0.2">
      <c r="B37" t="s">
        <v>102</v>
      </c>
      <c r="C37" t="s">
        <v>206</v>
      </c>
      <c r="D37" t="s">
        <v>179</v>
      </c>
      <c r="E37" t="s">
        <v>25</v>
      </c>
    </row>
    <row r="38" spans="2:5" x14ac:dyDescent="0.2">
      <c r="B38" t="s">
        <v>103</v>
      </c>
      <c r="C38" t="s">
        <v>207</v>
      </c>
      <c r="D38" t="s">
        <v>181</v>
      </c>
      <c r="E38" t="s">
        <v>276</v>
      </c>
    </row>
    <row r="39" spans="2:5" x14ac:dyDescent="0.2">
      <c r="B39" t="s">
        <v>104</v>
      </c>
      <c r="C39" t="s">
        <v>208</v>
      </c>
      <c r="D39" t="s">
        <v>179</v>
      </c>
      <c r="E39" t="s">
        <v>25</v>
      </c>
    </row>
    <row r="40" spans="2:5" x14ac:dyDescent="0.2">
      <c r="B40" t="s">
        <v>105</v>
      </c>
      <c r="C40" t="s">
        <v>209</v>
      </c>
      <c r="D40" t="s">
        <v>181</v>
      </c>
      <c r="E40" t="s">
        <v>277</v>
      </c>
    </row>
    <row r="41" spans="2:5" x14ac:dyDescent="0.2">
      <c r="B41" t="s">
        <v>106</v>
      </c>
      <c r="C41" t="s">
        <v>210</v>
      </c>
      <c r="D41" t="s">
        <v>181</v>
      </c>
      <c r="E41" t="s">
        <v>276</v>
      </c>
    </row>
    <row r="42" spans="2:5" x14ac:dyDescent="0.2">
      <c r="B42" t="s">
        <v>107</v>
      </c>
      <c r="C42" t="s">
        <v>211</v>
      </c>
      <c r="D42" t="s">
        <v>181</v>
      </c>
      <c r="E42" t="s">
        <v>276</v>
      </c>
    </row>
    <row r="43" spans="2:5" x14ac:dyDescent="0.2">
      <c r="B43" t="s">
        <v>108</v>
      </c>
      <c r="C43" t="s">
        <v>212</v>
      </c>
      <c r="D43" t="s">
        <v>181</v>
      </c>
      <c r="E43" t="s">
        <v>276</v>
      </c>
    </row>
    <row r="44" spans="2:5" x14ac:dyDescent="0.2">
      <c r="B44" t="s">
        <v>109</v>
      </c>
      <c r="C44" t="s">
        <v>213</v>
      </c>
      <c r="D44" t="s">
        <v>179</v>
      </c>
      <c r="E44" t="s">
        <v>25</v>
      </c>
    </row>
    <row r="45" spans="2:5" x14ac:dyDescent="0.2">
      <c r="B45" t="s">
        <v>110</v>
      </c>
      <c r="C45" t="s">
        <v>214</v>
      </c>
      <c r="D45" t="s">
        <v>181</v>
      </c>
      <c r="E45" t="s">
        <v>276</v>
      </c>
    </row>
    <row r="46" spans="2:5" x14ac:dyDescent="0.2">
      <c r="B46" t="s">
        <v>111</v>
      </c>
      <c r="C46" t="s">
        <v>215</v>
      </c>
      <c r="D46" t="s">
        <v>181</v>
      </c>
      <c r="E46" t="s">
        <v>276</v>
      </c>
    </row>
    <row r="47" spans="2:5" x14ac:dyDescent="0.2">
      <c r="B47" t="s">
        <v>112</v>
      </c>
      <c r="C47" t="s">
        <v>216</v>
      </c>
      <c r="D47" t="s">
        <v>181</v>
      </c>
      <c r="E47" t="s">
        <v>276</v>
      </c>
    </row>
    <row r="48" spans="2:5" x14ac:dyDescent="0.2">
      <c r="B48" t="s">
        <v>113</v>
      </c>
      <c r="C48" t="s">
        <v>217</v>
      </c>
      <c r="D48" t="s">
        <v>179</v>
      </c>
      <c r="E48" t="s">
        <v>25</v>
      </c>
    </row>
    <row r="49" spans="2:5" x14ac:dyDescent="0.2">
      <c r="B49" t="s">
        <v>114</v>
      </c>
      <c r="C49" t="s">
        <v>218</v>
      </c>
      <c r="D49" t="s">
        <v>181</v>
      </c>
      <c r="E49" t="s">
        <v>276</v>
      </c>
    </row>
    <row r="50" spans="2:5" x14ac:dyDescent="0.2">
      <c r="B50" t="s">
        <v>115</v>
      </c>
      <c r="C50" t="s">
        <v>219</v>
      </c>
      <c r="D50" t="s">
        <v>179</v>
      </c>
      <c r="E50" t="s">
        <v>25</v>
      </c>
    </row>
    <row r="51" spans="2:5" x14ac:dyDescent="0.2">
      <c r="B51" t="s">
        <v>116</v>
      </c>
      <c r="C51" t="s">
        <v>220</v>
      </c>
      <c r="D51" t="s">
        <v>179</v>
      </c>
      <c r="E51" t="s">
        <v>25</v>
      </c>
    </row>
    <row r="52" spans="2:5" x14ac:dyDescent="0.2">
      <c r="B52" t="s">
        <v>117</v>
      </c>
      <c r="C52" t="s">
        <v>221</v>
      </c>
      <c r="D52" t="s">
        <v>181</v>
      </c>
      <c r="E52" t="s">
        <v>276</v>
      </c>
    </row>
    <row r="53" spans="2:5" x14ac:dyDescent="0.2">
      <c r="B53" t="s">
        <v>118</v>
      </c>
      <c r="C53" t="s">
        <v>222</v>
      </c>
      <c r="D53" t="s">
        <v>179</v>
      </c>
      <c r="E53" t="s">
        <v>25</v>
      </c>
    </row>
    <row r="54" spans="2:5" x14ac:dyDescent="0.2">
      <c r="B54" t="s">
        <v>119</v>
      </c>
      <c r="C54" t="s">
        <v>223</v>
      </c>
      <c r="D54" t="s">
        <v>179</v>
      </c>
      <c r="E54" t="s">
        <v>25</v>
      </c>
    </row>
    <row r="55" spans="2:5" x14ac:dyDescent="0.2">
      <c r="B55" t="s">
        <v>120</v>
      </c>
      <c r="C55" t="s">
        <v>224</v>
      </c>
      <c r="D55" t="s">
        <v>181</v>
      </c>
      <c r="E55" t="s">
        <v>276</v>
      </c>
    </row>
    <row r="56" spans="2:5" x14ac:dyDescent="0.2">
      <c r="B56" t="s">
        <v>121</v>
      </c>
      <c r="C56" t="s">
        <v>225</v>
      </c>
      <c r="D56" t="s">
        <v>181</v>
      </c>
      <c r="E56" t="s">
        <v>197</v>
      </c>
    </row>
    <row r="57" spans="2:5" x14ac:dyDescent="0.2">
      <c r="B57" t="s">
        <v>122</v>
      </c>
      <c r="C57" t="s">
        <v>226</v>
      </c>
      <c r="D57" t="s">
        <v>179</v>
      </c>
      <c r="E57" t="s">
        <v>25</v>
      </c>
    </row>
    <row r="58" spans="2:5" x14ac:dyDescent="0.2">
      <c r="B58" t="s">
        <v>123</v>
      </c>
      <c r="C58" t="s">
        <v>227</v>
      </c>
      <c r="D58" t="s">
        <v>179</v>
      </c>
      <c r="E58" t="s">
        <v>25</v>
      </c>
    </row>
    <row r="59" spans="2:5" x14ac:dyDescent="0.2">
      <c r="B59" t="s">
        <v>124</v>
      </c>
      <c r="C59" t="s">
        <v>228</v>
      </c>
      <c r="D59" t="s">
        <v>181</v>
      </c>
      <c r="E59" t="s">
        <v>276</v>
      </c>
    </row>
    <row r="60" spans="2:5" x14ac:dyDescent="0.2">
      <c r="B60" t="s">
        <v>125</v>
      </c>
      <c r="C60" t="s">
        <v>229</v>
      </c>
      <c r="D60" t="s">
        <v>179</v>
      </c>
      <c r="E60" t="s">
        <v>25</v>
      </c>
    </row>
    <row r="61" spans="2:5" x14ac:dyDescent="0.2">
      <c r="B61" t="s">
        <v>126</v>
      </c>
      <c r="C61" t="s">
        <v>230</v>
      </c>
      <c r="D61" t="s">
        <v>179</v>
      </c>
      <c r="E61" t="s">
        <v>25</v>
      </c>
    </row>
    <row r="62" spans="2:5" x14ac:dyDescent="0.2">
      <c r="B62" t="s">
        <v>127</v>
      </c>
      <c r="C62" t="s">
        <v>231</v>
      </c>
      <c r="D62" t="s">
        <v>179</v>
      </c>
      <c r="E62" t="s">
        <v>25</v>
      </c>
    </row>
    <row r="63" spans="2:5" x14ac:dyDescent="0.2">
      <c r="B63" t="s">
        <v>128</v>
      </c>
      <c r="C63" t="s">
        <v>232</v>
      </c>
      <c r="D63" t="s">
        <v>181</v>
      </c>
      <c r="E63" t="s">
        <v>277</v>
      </c>
    </row>
    <row r="64" spans="2:5" x14ac:dyDescent="0.2">
      <c r="B64" t="s">
        <v>129</v>
      </c>
      <c r="C64" t="s">
        <v>233</v>
      </c>
      <c r="D64" t="s">
        <v>179</v>
      </c>
      <c r="E64" t="s">
        <v>25</v>
      </c>
    </row>
    <row r="65" spans="2:5" x14ac:dyDescent="0.2">
      <c r="B65" t="s">
        <v>130</v>
      </c>
      <c r="C65" t="s">
        <v>234</v>
      </c>
      <c r="D65" t="s">
        <v>179</v>
      </c>
      <c r="E65" t="s">
        <v>25</v>
      </c>
    </row>
    <row r="66" spans="2:5" x14ac:dyDescent="0.2">
      <c r="B66" t="s">
        <v>131</v>
      </c>
      <c r="C66" t="s">
        <v>235</v>
      </c>
      <c r="D66" t="s">
        <v>179</v>
      </c>
      <c r="E66" t="s">
        <v>25</v>
      </c>
    </row>
    <row r="67" spans="2:5" x14ac:dyDescent="0.2">
      <c r="B67" t="s">
        <v>132</v>
      </c>
      <c r="C67" t="s">
        <v>236</v>
      </c>
      <c r="D67" t="s">
        <v>181</v>
      </c>
      <c r="E67" t="s">
        <v>278</v>
      </c>
    </row>
    <row r="68" spans="2:5" x14ac:dyDescent="0.2">
      <c r="B68" t="s">
        <v>133</v>
      </c>
      <c r="C68" t="s">
        <v>237</v>
      </c>
      <c r="D68" t="s">
        <v>181</v>
      </c>
      <c r="E68" t="s">
        <v>276</v>
      </c>
    </row>
    <row r="69" spans="2:5" x14ac:dyDescent="0.2">
      <c r="B69" t="s">
        <v>134</v>
      </c>
      <c r="C69" t="s">
        <v>238</v>
      </c>
      <c r="D69" t="s">
        <v>181</v>
      </c>
      <c r="E69" t="s">
        <v>276</v>
      </c>
    </row>
    <row r="70" spans="2:5" x14ac:dyDescent="0.2">
      <c r="B70" t="s">
        <v>135</v>
      </c>
      <c r="C70" t="s">
        <v>239</v>
      </c>
      <c r="D70" t="s">
        <v>181</v>
      </c>
      <c r="E70" t="s">
        <v>276</v>
      </c>
    </row>
    <row r="71" spans="2:5" x14ac:dyDescent="0.2">
      <c r="B71" t="s">
        <v>136</v>
      </c>
      <c r="C71" t="s">
        <v>241</v>
      </c>
      <c r="D71" t="s">
        <v>181</v>
      </c>
      <c r="E71" t="s">
        <v>276</v>
      </c>
    </row>
    <row r="72" spans="2:5" x14ac:dyDescent="0.2">
      <c r="B72" t="s">
        <v>137</v>
      </c>
      <c r="C72" t="s">
        <v>242</v>
      </c>
      <c r="D72" t="s">
        <v>181</v>
      </c>
      <c r="E72" t="s">
        <v>276</v>
      </c>
    </row>
    <row r="73" spans="2:5" x14ac:dyDescent="0.2">
      <c r="B73" t="s">
        <v>138</v>
      </c>
      <c r="C73" t="s">
        <v>240</v>
      </c>
      <c r="D73" t="s">
        <v>181</v>
      </c>
      <c r="E73" t="s">
        <v>276</v>
      </c>
    </row>
    <row r="74" spans="2:5" x14ac:dyDescent="0.2">
      <c r="B74" t="s">
        <v>139</v>
      </c>
      <c r="C74" t="s">
        <v>243</v>
      </c>
      <c r="D74" t="s">
        <v>181</v>
      </c>
      <c r="E74" t="s">
        <v>197</v>
      </c>
    </row>
    <row r="75" spans="2:5" x14ac:dyDescent="0.2">
      <c r="B75" t="s">
        <v>140</v>
      </c>
      <c r="C75" t="s">
        <v>244</v>
      </c>
      <c r="D75" t="s">
        <v>181</v>
      </c>
      <c r="E75" t="s">
        <v>277</v>
      </c>
    </row>
    <row r="76" spans="2:5" x14ac:dyDescent="0.2">
      <c r="B76" t="s">
        <v>141</v>
      </c>
      <c r="C76" t="s">
        <v>245</v>
      </c>
      <c r="D76" t="s">
        <v>181</v>
      </c>
      <c r="E76" t="s">
        <v>245</v>
      </c>
    </row>
    <row r="77" spans="2:5" x14ac:dyDescent="0.2">
      <c r="B77" t="s">
        <v>142</v>
      </c>
      <c r="C77" t="s">
        <v>246</v>
      </c>
      <c r="D77" t="s">
        <v>179</v>
      </c>
      <c r="E77" t="s">
        <v>25</v>
      </c>
    </row>
    <row r="78" spans="2:5" x14ac:dyDescent="0.2">
      <c r="B78" t="s">
        <v>143</v>
      </c>
      <c r="C78" t="s">
        <v>247</v>
      </c>
      <c r="D78" t="s">
        <v>181</v>
      </c>
      <c r="E78" t="s">
        <v>276</v>
      </c>
    </row>
    <row r="79" spans="2:5" x14ac:dyDescent="0.2">
      <c r="B79" t="s">
        <v>144</v>
      </c>
      <c r="C79" t="s">
        <v>248</v>
      </c>
      <c r="D79" t="s">
        <v>181</v>
      </c>
      <c r="E79" t="s">
        <v>276</v>
      </c>
    </row>
    <row r="80" spans="2:5" x14ac:dyDescent="0.2">
      <c r="B80" t="s">
        <v>145</v>
      </c>
      <c r="C80" t="s">
        <v>249</v>
      </c>
      <c r="D80" t="s">
        <v>181</v>
      </c>
      <c r="E80" t="s">
        <v>276</v>
      </c>
    </row>
    <row r="81" spans="2:5" x14ac:dyDescent="0.2">
      <c r="B81" t="s">
        <v>146</v>
      </c>
      <c r="C81" t="s">
        <v>250</v>
      </c>
      <c r="D81" t="s">
        <v>181</v>
      </c>
      <c r="E81" t="s">
        <v>276</v>
      </c>
    </row>
    <row r="82" spans="2:5" x14ac:dyDescent="0.2">
      <c r="B82" t="s">
        <v>147</v>
      </c>
      <c r="C82" t="s">
        <v>251</v>
      </c>
      <c r="D82" t="s">
        <v>179</v>
      </c>
      <c r="E82" t="s">
        <v>25</v>
      </c>
    </row>
    <row r="83" spans="2:5" x14ac:dyDescent="0.2">
      <c r="B83" t="s">
        <v>148</v>
      </c>
      <c r="C83" t="s">
        <v>252</v>
      </c>
      <c r="D83" t="s">
        <v>181</v>
      </c>
      <c r="E83" t="s">
        <v>277</v>
      </c>
    </row>
    <row r="84" spans="2:5" x14ac:dyDescent="0.2">
      <c r="B84" t="s">
        <v>149</v>
      </c>
      <c r="C84" t="s">
        <v>253</v>
      </c>
      <c r="D84" t="s">
        <v>179</v>
      </c>
      <c r="E84" t="s">
        <v>25</v>
      </c>
    </row>
    <row r="85" spans="2:5" x14ac:dyDescent="0.2">
      <c r="B85" t="s">
        <v>150</v>
      </c>
      <c r="C85" t="s">
        <v>254</v>
      </c>
      <c r="D85" t="s">
        <v>179</v>
      </c>
      <c r="E85" t="s">
        <v>25</v>
      </c>
    </row>
    <row r="86" spans="2:5" x14ac:dyDescent="0.2">
      <c r="B86" t="s">
        <v>151</v>
      </c>
      <c r="C86" t="s">
        <v>255</v>
      </c>
      <c r="D86" t="s">
        <v>181</v>
      </c>
      <c r="E86" t="s">
        <v>276</v>
      </c>
    </row>
    <row r="87" spans="2:5" x14ac:dyDescent="0.2">
      <c r="B87" t="s">
        <v>152</v>
      </c>
      <c r="C87" t="s">
        <v>256</v>
      </c>
      <c r="D87" t="s">
        <v>179</v>
      </c>
      <c r="E87" t="s">
        <v>25</v>
      </c>
    </row>
    <row r="88" spans="2:5" x14ac:dyDescent="0.2">
      <c r="B88" t="s">
        <v>153</v>
      </c>
      <c r="C88" t="s">
        <v>257</v>
      </c>
      <c r="D88" t="s">
        <v>181</v>
      </c>
      <c r="E88" t="s">
        <v>276</v>
      </c>
    </row>
    <row r="89" spans="2:5" x14ac:dyDescent="0.2">
      <c r="B89" t="s">
        <v>154</v>
      </c>
      <c r="C89" t="s">
        <v>258</v>
      </c>
      <c r="D89" t="s">
        <v>179</v>
      </c>
      <c r="E89" t="s">
        <v>25</v>
      </c>
    </row>
    <row r="90" spans="2:5" x14ac:dyDescent="0.2">
      <c r="B90" t="s">
        <v>155</v>
      </c>
      <c r="C90" t="s">
        <v>259</v>
      </c>
      <c r="D90" t="s">
        <v>179</v>
      </c>
      <c r="E90" t="s">
        <v>25</v>
      </c>
    </row>
    <row r="91" spans="2:5" x14ac:dyDescent="0.2">
      <c r="B91" t="s">
        <v>156</v>
      </c>
      <c r="C91" t="s">
        <v>260</v>
      </c>
      <c r="D91" t="s">
        <v>181</v>
      </c>
      <c r="E91" t="s">
        <v>276</v>
      </c>
    </row>
    <row r="92" spans="2:5" x14ac:dyDescent="0.2">
      <c r="B92" t="s">
        <v>157</v>
      </c>
      <c r="C92" t="s">
        <v>261</v>
      </c>
      <c r="D92" t="s">
        <v>181</v>
      </c>
      <c r="E92" t="s">
        <v>277</v>
      </c>
    </row>
    <row r="93" spans="2:5" x14ac:dyDescent="0.2">
      <c r="B93" t="s">
        <v>158</v>
      </c>
      <c r="C93" t="s">
        <v>262</v>
      </c>
      <c r="D93" t="s">
        <v>181</v>
      </c>
      <c r="E93" t="s">
        <v>276</v>
      </c>
    </row>
    <row r="94" spans="2:5" x14ac:dyDescent="0.2">
      <c r="B94" t="s">
        <v>159</v>
      </c>
      <c r="C94" t="s">
        <v>263</v>
      </c>
      <c r="D94" t="s">
        <v>181</v>
      </c>
      <c r="E94" t="s">
        <v>276</v>
      </c>
    </row>
    <row r="95" spans="2:5" x14ac:dyDescent="0.2">
      <c r="B95" t="s">
        <v>160</v>
      </c>
      <c r="C95" t="s">
        <v>264</v>
      </c>
      <c r="D95" t="s">
        <v>181</v>
      </c>
      <c r="E95" t="s">
        <v>277</v>
      </c>
    </row>
    <row r="96" spans="2:5" x14ac:dyDescent="0.2">
      <c r="B96" t="s">
        <v>161</v>
      </c>
      <c r="C96" t="s">
        <v>265</v>
      </c>
      <c r="D96" t="s">
        <v>181</v>
      </c>
      <c r="E96" t="s">
        <v>276</v>
      </c>
    </row>
    <row r="97" spans="2:5" x14ac:dyDescent="0.2">
      <c r="B97" t="s">
        <v>162</v>
      </c>
      <c r="C97" t="s">
        <v>266</v>
      </c>
      <c r="D97" t="s">
        <v>179</v>
      </c>
      <c r="E97" t="s">
        <v>25</v>
      </c>
    </row>
    <row r="98" spans="2:5" x14ac:dyDescent="0.2">
      <c r="B98" t="s">
        <v>163</v>
      </c>
      <c r="C98" t="s">
        <v>267</v>
      </c>
      <c r="D98" t="s">
        <v>181</v>
      </c>
      <c r="E98" t="s">
        <v>197</v>
      </c>
    </row>
    <row r="99" spans="2:5" x14ac:dyDescent="0.2">
      <c r="B99" t="s">
        <v>164</v>
      </c>
      <c r="C99" t="s">
        <v>268</v>
      </c>
      <c r="D99" t="s">
        <v>179</v>
      </c>
      <c r="E99" t="s">
        <v>25</v>
      </c>
    </row>
    <row r="100" spans="2:5" x14ac:dyDescent="0.2">
      <c r="B100" t="s">
        <v>165</v>
      </c>
      <c r="C100" t="s">
        <v>269</v>
      </c>
      <c r="D100" t="s">
        <v>181</v>
      </c>
      <c r="E100" t="s">
        <v>278</v>
      </c>
    </row>
    <row r="101" spans="2:5" x14ac:dyDescent="0.2">
      <c r="B101" t="s">
        <v>166</v>
      </c>
      <c r="C101" t="s">
        <v>270</v>
      </c>
      <c r="D101" t="s">
        <v>181</v>
      </c>
      <c r="E101" t="s">
        <v>276</v>
      </c>
    </row>
    <row r="102" spans="2:5" x14ac:dyDescent="0.2">
      <c r="B102" t="s">
        <v>167</v>
      </c>
      <c r="C102" t="s">
        <v>271</v>
      </c>
      <c r="D102" t="s">
        <v>181</v>
      </c>
      <c r="E102" t="s">
        <v>276</v>
      </c>
    </row>
    <row r="103" spans="2:5" x14ac:dyDescent="0.2">
      <c r="B103" t="s">
        <v>168</v>
      </c>
      <c r="C103" t="s">
        <v>272</v>
      </c>
      <c r="D103" t="s">
        <v>181</v>
      </c>
      <c r="E103" t="s">
        <v>276</v>
      </c>
    </row>
    <row r="104" spans="2:5" x14ac:dyDescent="0.2">
      <c r="B104" t="s">
        <v>169</v>
      </c>
      <c r="C104" t="s">
        <v>273</v>
      </c>
      <c r="D104" t="s">
        <v>181</v>
      </c>
      <c r="E104" t="s">
        <v>276</v>
      </c>
    </row>
    <row r="105" spans="2:5" x14ac:dyDescent="0.2">
      <c r="B105" t="s">
        <v>170</v>
      </c>
      <c r="C105" t="s">
        <v>274</v>
      </c>
      <c r="D105" t="s">
        <v>181</v>
      </c>
      <c r="E105" t="s">
        <v>276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A13C-60EE-44E6-8D5C-F7839AAC4D0E}">
  <dimension ref="B15:O62"/>
  <sheetViews>
    <sheetView showGridLines="0" zoomScale="85" zoomScaleNormal="85" workbookViewId="0">
      <pane ySplit="3" topLeftCell="A19" activePane="bottomLeft" state="frozen"/>
      <selection pane="bottomLeft" activeCell="M51" sqref="M51"/>
    </sheetView>
  </sheetViews>
  <sheetFormatPr baseColWidth="10" defaultColWidth="11.5" defaultRowHeight="14.25" x14ac:dyDescent="0.2"/>
  <cols>
    <col min="1" max="1" width="1.5" style="2" customWidth="1"/>
    <col min="2" max="2" width="18.5" style="2" customWidth="1"/>
    <col min="3" max="9" width="13.875" style="2" bestFit="1" customWidth="1"/>
    <col min="10" max="10" width="7.5" style="2" bestFit="1" customWidth="1"/>
    <col min="11" max="11" width="13.25" style="2" bestFit="1" customWidth="1"/>
    <col min="12" max="12" width="9.5" style="2" bestFit="1" customWidth="1"/>
    <col min="13" max="14" width="11.5" style="2"/>
    <col min="16" max="16384" width="11.5" style="2"/>
  </cols>
  <sheetData>
    <row r="15" spans="5:5" x14ac:dyDescent="0.2">
      <c r="E15" s="3"/>
    </row>
    <row r="20" spans="2:2" ht="15" x14ac:dyDescent="0.25">
      <c r="B20" s="4"/>
    </row>
    <row r="38" spans="2:10" ht="15" x14ac:dyDescent="0.25">
      <c r="B38" s="4" t="s">
        <v>518</v>
      </c>
    </row>
    <row r="39" spans="2:10" x14ac:dyDescent="0.2">
      <c r="B39" s="2" t="s">
        <v>519</v>
      </c>
    </row>
    <row r="41" spans="2:10" ht="15" x14ac:dyDescent="0.25">
      <c r="B41" s="38" t="s">
        <v>520</v>
      </c>
      <c r="C41" s="38" t="s">
        <v>521</v>
      </c>
      <c r="D41" s="38" t="s">
        <v>522</v>
      </c>
      <c r="E41" s="38" t="s">
        <v>523</v>
      </c>
      <c r="F41" s="38" t="s">
        <v>524</v>
      </c>
      <c r="G41" s="38" t="s">
        <v>525</v>
      </c>
      <c r="H41" s="38" t="s">
        <v>526</v>
      </c>
      <c r="I41" s="38" t="s">
        <v>527</v>
      </c>
      <c r="J41" s="38" t="s">
        <v>528</v>
      </c>
    </row>
    <row r="42" spans="2:10" x14ac:dyDescent="0.2">
      <c r="B42" s="2">
        <v>0</v>
      </c>
      <c r="C42" s="2">
        <v>-3.970048523</v>
      </c>
      <c r="D42" s="2">
        <v>-2.5123363809999999</v>
      </c>
      <c r="E42" s="2">
        <v>5.346329613</v>
      </c>
      <c r="F42" s="2">
        <v>-1.0120087120000001</v>
      </c>
      <c r="G42" s="2">
        <v>1.8449003610000001</v>
      </c>
      <c r="H42" s="2">
        <v>0.32983979699999999</v>
      </c>
      <c r="I42" s="2">
        <v>-0.49159048300000002</v>
      </c>
      <c r="J42" s="2" t="s">
        <v>529</v>
      </c>
    </row>
    <row r="43" spans="2:10" x14ac:dyDescent="0.2">
      <c r="B43" s="2">
        <v>1</v>
      </c>
      <c r="C43" s="2">
        <v>-1.195217191</v>
      </c>
      <c r="D43" s="2">
        <v>-2.8392565279999999</v>
      </c>
      <c r="E43" s="2">
        <v>3.6640587579999999</v>
      </c>
      <c r="F43" s="2">
        <v>1.5882323089999999</v>
      </c>
      <c r="G43" s="2">
        <v>0.85328579500000001</v>
      </c>
      <c r="H43" s="2">
        <v>0.86753008200000004</v>
      </c>
      <c r="I43" s="2">
        <v>-0.72280936699999998</v>
      </c>
      <c r="J43" s="2" t="s">
        <v>529</v>
      </c>
    </row>
    <row r="44" spans="2:10" x14ac:dyDescent="0.2">
      <c r="B44" s="2">
        <v>2</v>
      </c>
      <c r="C44" s="2">
        <v>-0.29202386200000002</v>
      </c>
      <c r="D44" s="2">
        <v>-1.3512819949999999</v>
      </c>
      <c r="E44" s="2">
        <v>-1.7384291620000001</v>
      </c>
      <c r="F44" s="2">
        <v>-0.34261592800000001</v>
      </c>
      <c r="G44" s="2">
        <v>2.8386355120000002</v>
      </c>
      <c r="H44" s="2">
        <v>-3.8033327999999998E-2</v>
      </c>
      <c r="I44" s="2">
        <v>2.6216364730000001</v>
      </c>
      <c r="J44" s="2" t="s">
        <v>530</v>
      </c>
    </row>
    <row r="45" spans="2:10" x14ac:dyDescent="0.2">
      <c r="B45" s="2">
        <v>3</v>
      </c>
      <c r="C45" s="2">
        <v>-0.65719577299999998</v>
      </c>
      <c r="D45" s="2">
        <v>-2.2716266090000001</v>
      </c>
      <c r="E45" s="2">
        <v>1.3248738470000001</v>
      </c>
      <c r="F45" s="2">
        <v>-9.7874716E-2</v>
      </c>
      <c r="G45" s="2">
        <v>3.6379704909999999</v>
      </c>
      <c r="H45" s="2">
        <v>-3.413761338</v>
      </c>
      <c r="I45" s="2">
        <v>0.79072321700000003</v>
      </c>
      <c r="J45" s="2" t="s">
        <v>529</v>
      </c>
    </row>
    <row r="46" spans="2:10" x14ac:dyDescent="0.2">
      <c r="B46" s="2">
        <v>4</v>
      </c>
      <c r="C46" s="2">
        <v>1.36421682</v>
      </c>
      <c r="D46" s="2">
        <v>-1.2966118769999999</v>
      </c>
      <c r="E46" s="2">
        <v>-0.384658206</v>
      </c>
      <c r="F46" s="2">
        <v>-0.55300576999999995</v>
      </c>
      <c r="G46" s="2">
        <v>3.0308743539999998</v>
      </c>
      <c r="H46" s="2">
        <v>-1.303849429</v>
      </c>
      <c r="I46" s="2">
        <v>0.50198403599999997</v>
      </c>
      <c r="J46" s="2" t="s">
        <v>529</v>
      </c>
    </row>
    <row r="47" spans="2:10" x14ac:dyDescent="0.2">
      <c r="B47" s="2">
        <v>5</v>
      </c>
      <c r="C47" s="2">
        <v>-3.4253997549999999</v>
      </c>
      <c r="D47" s="2">
        <v>-1.4090822039999999</v>
      </c>
      <c r="E47" s="2">
        <v>-1.9135111950000001</v>
      </c>
      <c r="F47" s="2">
        <v>-0.55577486399999998</v>
      </c>
      <c r="G47" s="2">
        <v>-3.8530714700000002</v>
      </c>
      <c r="H47" s="2">
        <v>1.914615916</v>
      </c>
      <c r="I47" s="2">
        <v>-2.9815231689999999</v>
      </c>
      <c r="J47" s="2" t="s">
        <v>530</v>
      </c>
    </row>
    <row r="48" spans="2:10" x14ac:dyDescent="0.2">
      <c r="B48" s="2">
        <v>6</v>
      </c>
      <c r="C48" s="2">
        <v>1.331605736</v>
      </c>
      <c r="D48" s="2">
        <v>1.6359557149999999</v>
      </c>
      <c r="E48" s="2">
        <v>0.87597424400000001</v>
      </c>
      <c r="F48" s="2">
        <v>-1.67779794</v>
      </c>
      <c r="G48" s="2">
        <v>3.1063444549999999</v>
      </c>
      <c r="H48" s="2">
        <v>-1.847416733</v>
      </c>
      <c r="I48" s="2">
        <v>2.4141705089999999</v>
      </c>
      <c r="J48" s="2" t="s">
        <v>529</v>
      </c>
    </row>
    <row r="49" spans="2:10" x14ac:dyDescent="0.2">
      <c r="B49" s="2">
        <v>7</v>
      </c>
      <c r="C49" s="2">
        <v>-1.995462096</v>
      </c>
      <c r="D49" s="2">
        <v>-0.42895847999999998</v>
      </c>
      <c r="E49" s="2">
        <v>1.530643583</v>
      </c>
      <c r="F49" s="2">
        <v>-0.74297167600000003</v>
      </c>
      <c r="G49" s="2">
        <v>0.158834003</v>
      </c>
      <c r="H49" s="2">
        <v>0.97443785800000005</v>
      </c>
      <c r="I49" s="2">
        <v>-1.470125066</v>
      </c>
      <c r="J49" s="2" t="s">
        <v>529</v>
      </c>
    </row>
    <row r="50" spans="2:10" x14ac:dyDescent="0.2">
      <c r="B50" s="2">
        <v>8</v>
      </c>
      <c r="C50" s="2">
        <v>-3.8676322330000001</v>
      </c>
      <c r="D50" s="2">
        <v>-3.7345135759999999</v>
      </c>
      <c r="E50" s="2">
        <v>0.98642906699999999</v>
      </c>
      <c r="F50" s="2">
        <v>-1.20765455</v>
      </c>
      <c r="G50" s="2">
        <v>2.2928729190000001</v>
      </c>
      <c r="H50" s="2">
        <v>4.0809207870000002</v>
      </c>
      <c r="I50" s="2">
        <v>-4.8719047580000003</v>
      </c>
      <c r="J50" s="2" t="s">
        <v>530</v>
      </c>
    </row>
    <row r="51" spans="2:10" x14ac:dyDescent="0.2">
      <c r="B51" s="2">
        <v>9</v>
      </c>
      <c r="C51" s="2">
        <v>-0.72798270899999995</v>
      </c>
      <c r="D51" s="2">
        <v>-0.442820353</v>
      </c>
      <c r="E51" s="2">
        <v>-4.0922228269999996</v>
      </c>
      <c r="F51" s="2">
        <v>0.59751291699999998</v>
      </c>
      <c r="G51" s="2">
        <v>0.39371426100000001</v>
      </c>
      <c r="H51" s="2">
        <v>1.620856772</v>
      </c>
      <c r="I51" s="2">
        <v>2.1856077229999999</v>
      </c>
      <c r="J51" s="2" t="s">
        <v>530</v>
      </c>
    </row>
    <row r="52" spans="2:10" x14ac:dyDescent="0.2">
      <c r="B52" s="2">
        <v>10</v>
      </c>
      <c r="C52" s="2">
        <v>-2.6993362900000002</v>
      </c>
      <c r="D52" s="2">
        <v>-1.3295069879999999</v>
      </c>
      <c r="E52" s="2">
        <v>-1.418506853</v>
      </c>
      <c r="F52" s="2">
        <v>-0.62554576799999995</v>
      </c>
      <c r="G52" s="2">
        <v>2.3710743710000002</v>
      </c>
      <c r="H52" s="2">
        <v>3.4031645230000001</v>
      </c>
      <c r="I52" s="2">
        <v>-2.810808169</v>
      </c>
      <c r="J52" s="2" t="s">
        <v>530</v>
      </c>
    </row>
    <row r="53" spans="2:10" x14ac:dyDescent="0.2">
      <c r="B53" s="2">
        <v>11</v>
      </c>
      <c r="C53" s="2">
        <v>2.4509598449999999</v>
      </c>
      <c r="D53" s="2">
        <v>-0.56417740699999996</v>
      </c>
      <c r="E53" s="2">
        <v>-1.635040727</v>
      </c>
      <c r="F53" s="2">
        <v>0.94239986899999995</v>
      </c>
      <c r="G53" s="2">
        <v>-2.0873166699999999</v>
      </c>
      <c r="H53" s="2">
        <v>1.2143216910000001</v>
      </c>
      <c r="I53" s="2">
        <v>1.294323927</v>
      </c>
      <c r="J53" s="2" t="s">
        <v>529</v>
      </c>
    </row>
    <row r="54" spans="2:10" x14ac:dyDescent="0.2">
      <c r="B54" s="2">
        <v>12</v>
      </c>
      <c r="C54" s="2">
        <v>-0.170811719</v>
      </c>
      <c r="D54" s="2">
        <v>-1.8672711420000001</v>
      </c>
      <c r="E54" s="2">
        <v>-1.771844728</v>
      </c>
      <c r="F54" s="2">
        <v>2.4131553170000002</v>
      </c>
      <c r="G54" s="2">
        <v>-3.0945547379999998</v>
      </c>
      <c r="H54" s="2">
        <v>-0.62488437500000005</v>
      </c>
      <c r="I54" s="2">
        <v>-2.0761139970000002</v>
      </c>
      <c r="J54" s="2" t="s">
        <v>530</v>
      </c>
    </row>
    <row r="55" spans="2:10" x14ac:dyDescent="0.2">
      <c r="B55" s="2">
        <v>13</v>
      </c>
      <c r="C55" s="2">
        <v>-1.3455305360000001</v>
      </c>
      <c r="D55" s="2">
        <v>-1.6237011210000001</v>
      </c>
      <c r="E55" s="2">
        <v>2.0441437539999998</v>
      </c>
      <c r="F55" s="2">
        <v>1.7548129320000001</v>
      </c>
      <c r="G55" s="2">
        <v>0.99756709300000002</v>
      </c>
      <c r="H55" s="2">
        <v>0.434179855</v>
      </c>
      <c r="I55" s="2">
        <v>1.7240260839999999</v>
      </c>
      <c r="J55" s="2" t="s">
        <v>529</v>
      </c>
    </row>
    <row r="56" spans="2:10" x14ac:dyDescent="0.2">
      <c r="B56" s="2">
        <v>14</v>
      </c>
      <c r="C56" s="2">
        <v>2.839580937</v>
      </c>
      <c r="D56" s="2">
        <v>-0.344798192</v>
      </c>
      <c r="E56" s="2">
        <v>-1.0197972909999999</v>
      </c>
      <c r="F56" s="2">
        <v>0.89458085700000001</v>
      </c>
      <c r="G56" s="2">
        <v>-1.300060883</v>
      </c>
      <c r="H56" s="2">
        <v>0.58237861999999996</v>
      </c>
      <c r="I56" s="2">
        <v>1.709708209</v>
      </c>
      <c r="J56" s="2" t="s">
        <v>529</v>
      </c>
    </row>
    <row r="57" spans="2:10" x14ac:dyDescent="0.2">
      <c r="B57" s="2">
        <v>15</v>
      </c>
      <c r="C57" s="2">
        <v>-2.6598873850000002</v>
      </c>
      <c r="D57" s="2">
        <v>-2.7956842079999999</v>
      </c>
      <c r="E57" s="2">
        <v>4.2304035869999996</v>
      </c>
      <c r="F57" s="2">
        <v>0.69755039500000005</v>
      </c>
      <c r="G57" s="2">
        <v>2.180911101</v>
      </c>
      <c r="H57" s="2">
        <v>-8.8775396000000006E-2</v>
      </c>
      <c r="I57" s="2">
        <v>-1.0836207879999999</v>
      </c>
      <c r="J57" s="2" t="s">
        <v>529</v>
      </c>
    </row>
    <row r="58" spans="2:10" x14ac:dyDescent="0.2">
      <c r="B58" s="2">
        <v>16</v>
      </c>
      <c r="C58" s="2">
        <v>-1.4689515470000001</v>
      </c>
      <c r="D58" s="2">
        <v>-1.950359588</v>
      </c>
      <c r="E58" s="2">
        <v>-2.2143728889999998</v>
      </c>
      <c r="F58" s="2">
        <v>0.90975850899999999</v>
      </c>
      <c r="G58" s="2">
        <v>2.8644488539999999</v>
      </c>
      <c r="H58" s="2">
        <v>3.9659556550000001</v>
      </c>
      <c r="I58" s="2">
        <v>-0.55820868300000004</v>
      </c>
      <c r="J58" s="2" t="s">
        <v>530</v>
      </c>
    </row>
    <row r="59" spans="2:10" x14ac:dyDescent="0.2">
      <c r="B59" s="2">
        <v>17</v>
      </c>
      <c r="C59" s="2">
        <v>-7.4370176999999996E-2</v>
      </c>
      <c r="D59" s="2">
        <v>-4.7147499530000001</v>
      </c>
      <c r="E59" s="2">
        <v>0.24976764100000001</v>
      </c>
      <c r="F59" s="2">
        <v>2.9353190649999998</v>
      </c>
      <c r="G59" s="2">
        <v>1.4097550999999999</v>
      </c>
      <c r="H59" s="2">
        <v>-2.6438102059999999</v>
      </c>
      <c r="I59" s="2">
        <v>1.250970347</v>
      </c>
      <c r="J59" s="2" t="s">
        <v>529</v>
      </c>
    </row>
    <row r="60" spans="2:10" x14ac:dyDescent="0.2">
      <c r="B60" s="2">
        <v>18</v>
      </c>
      <c r="C60" s="2">
        <v>-0.30236426700000002</v>
      </c>
      <c r="D60" s="2">
        <v>1.724395847</v>
      </c>
      <c r="E60" s="2">
        <v>-2.442337223</v>
      </c>
      <c r="F60" s="2">
        <v>3.465108479</v>
      </c>
      <c r="G60" s="2">
        <v>0.449791675</v>
      </c>
      <c r="H60" s="2">
        <v>-7.4362451999999996E-2</v>
      </c>
      <c r="I60" s="2">
        <v>2.493781985</v>
      </c>
      <c r="J60" s="2" t="s">
        <v>530</v>
      </c>
    </row>
    <row r="61" spans="2:10" x14ac:dyDescent="0.2">
      <c r="B61" s="2">
        <v>19</v>
      </c>
      <c r="C61" s="2">
        <v>-2.1080498990000001</v>
      </c>
      <c r="D61" s="2">
        <v>0.35646740300000002</v>
      </c>
      <c r="E61" s="2">
        <v>-1.156193279</v>
      </c>
      <c r="F61" s="2">
        <v>4.3267225170000003</v>
      </c>
      <c r="G61" s="2">
        <v>1.561543116</v>
      </c>
      <c r="H61" s="2">
        <v>-4.6301742639999999</v>
      </c>
      <c r="I61" s="2">
        <v>-1.3766572100000001</v>
      </c>
      <c r="J61" s="2" t="s">
        <v>529</v>
      </c>
    </row>
    <row r="62" spans="2:10" x14ac:dyDescent="0.2">
      <c r="B62" s="2">
        <v>20</v>
      </c>
      <c r="C62" s="2">
        <v>-2.3345895049999998</v>
      </c>
      <c r="D62" s="2">
        <v>-2.9437089030000001</v>
      </c>
      <c r="E62" s="2">
        <v>-3.4526277240000001</v>
      </c>
      <c r="F62" s="2">
        <v>0.76239173000000005</v>
      </c>
      <c r="G62" s="2">
        <v>4.0764623689999997</v>
      </c>
      <c r="H62" s="2">
        <v>6.346445353</v>
      </c>
      <c r="I62" s="2">
        <v>0.72677567200000004</v>
      </c>
      <c r="J62" s="2" t="s">
        <v>530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BB79-04AB-4435-8B4C-88BFA5E03FE2}">
  <dimension ref="B12:F49"/>
  <sheetViews>
    <sheetView showGridLines="0" zoomScale="85" zoomScaleNormal="85" workbookViewId="0">
      <pane ySplit="3" topLeftCell="A22" activePane="bottomLeft" state="frozen"/>
      <selection pane="bottomLeft" activeCell="F39" sqref="F39"/>
    </sheetView>
  </sheetViews>
  <sheetFormatPr baseColWidth="10" defaultColWidth="11.5" defaultRowHeight="14.25" x14ac:dyDescent="0.2"/>
  <cols>
    <col min="1" max="1" width="1.5" style="2" customWidth="1"/>
    <col min="2" max="2" width="18.5" style="2" customWidth="1"/>
    <col min="3" max="3" width="13" style="2" bestFit="1" customWidth="1"/>
    <col min="4" max="4" width="7.75" style="2" bestFit="1" customWidth="1"/>
    <col min="5" max="5" width="5.5" style="2" bestFit="1" customWidth="1"/>
    <col min="6" max="6" width="11.75" style="2" bestFit="1" customWidth="1"/>
    <col min="7"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12" spans="2:6" ht="15" x14ac:dyDescent="0.25">
      <c r="B12" s="4" t="s">
        <v>531</v>
      </c>
    </row>
    <row r="13" spans="2:6" x14ac:dyDescent="0.2">
      <c r="B13" s="2" t="s">
        <v>532</v>
      </c>
    </row>
    <row r="15" spans="2:6" ht="15" x14ac:dyDescent="0.25">
      <c r="B15" s="21" t="s">
        <v>547</v>
      </c>
      <c r="C15" s="21" t="s">
        <v>533</v>
      </c>
      <c r="D15" s="21" t="s">
        <v>534</v>
      </c>
      <c r="E15" s="43" t="s">
        <v>535</v>
      </c>
      <c r="F15" s="43" t="s">
        <v>187</v>
      </c>
    </row>
    <row r="16" spans="2:6" x14ac:dyDescent="0.2">
      <c r="B16" s="15" t="s">
        <v>536</v>
      </c>
      <c r="C16" s="25">
        <v>14157</v>
      </c>
      <c r="D16" s="25">
        <v>1417</v>
      </c>
      <c r="E16" s="25">
        <v>1</v>
      </c>
      <c r="F16" s="44">
        <f>C16+D16+E16</f>
        <v>15575</v>
      </c>
    </row>
    <row r="17" spans="2:6" x14ac:dyDescent="0.2">
      <c r="B17" s="15" t="s">
        <v>537</v>
      </c>
      <c r="C17" s="25">
        <v>14267</v>
      </c>
      <c r="D17" s="25">
        <v>1427</v>
      </c>
      <c r="E17" s="25">
        <v>1</v>
      </c>
      <c r="F17" s="44">
        <f t="shared" ref="F17:F26" si="0">C17+D17+E17</f>
        <v>15695</v>
      </c>
    </row>
    <row r="18" spans="2:6" x14ac:dyDescent="0.2">
      <c r="B18" s="15" t="s">
        <v>538</v>
      </c>
      <c r="C18" s="25">
        <v>14339</v>
      </c>
      <c r="D18" s="25">
        <v>1440</v>
      </c>
      <c r="E18" s="25">
        <v>1</v>
      </c>
      <c r="F18" s="44">
        <f t="shared" si="0"/>
        <v>15780</v>
      </c>
    </row>
    <row r="19" spans="2:6" x14ac:dyDescent="0.2">
      <c r="B19" s="15" t="s">
        <v>539</v>
      </c>
      <c r="C19" s="25">
        <v>14248</v>
      </c>
      <c r="D19" s="25">
        <v>1443</v>
      </c>
      <c r="E19" s="25">
        <v>1</v>
      </c>
      <c r="F19" s="44">
        <f t="shared" si="0"/>
        <v>15692</v>
      </c>
    </row>
    <row r="20" spans="2:6" x14ac:dyDescent="0.2">
      <c r="B20" s="15" t="s">
        <v>540</v>
      </c>
      <c r="C20" s="25">
        <v>14146</v>
      </c>
      <c r="D20" s="25">
        <v>1450</v>
      </c>
      <c r="E20" s="25">
        <v>1</v>
      </c>
      <c r="F20" s="44">
        <f t="shared" si="0"/>
        <v>15597</v>
      </c>
    </row>
    <row r="21" spans="2:6" x14ac:dyDescent="0.2">
      <c r="B21" s="15" t="s">
        <v>541</v>
      </c>
      <c r="C21" s="25">
        <v>14027</v>
      </c>
      <c r="D21" s="25">
        <v>1458</v>
      </c>
      <c r="E21" s="25">
        <v>1</v>
      </c>
      <c r="F21" s="44">
        <f t="shared" si="0"/>
        <v>15486</v>
      </c>
    </row>
    <row r="22" spans="2:6" x14ac:dyDescent="0.2">
      <c r="B22" s="15" t="s">
        <v>542</v>
      </c>
      <c r="C22" s="25">
        <v>13905</v>
      </c>
      <c r="D22" s="25">
        <v>1472</v>
      </c>
      <c r="E22" s="25">
        <v>1</v>
      </c>
      <c r="F22" s="44">
        <f t="shared" si="0"/>
        <v>15378</v>
      </c>
    </row>
    <row r="23" spans="2:6" x14ac:dyDescent="0.2">
      <c r="B23" s="15" t="s">
        <v>543</v>
      </c>
      <c r="C23" s="25">
        <v>13837</v>
      </c>
      <c r="D23" s="25">
        <v>1478</v>
      </c>
      <c r="E23" s="25">
        <v>1</v>
      </c>
      <c r="F23" s="44">
        <f t="shared" si="0"/>
        <v>15316</v>
      </c>
    </row>
    <row r="24" spans="2:6" x14ac:dyDescent="0.2">
      <c r="B24" s="15" t="s">
        <v>544</v>
      </c>
      <c r="C24" s="25">
        <v>13673</v>
      </c>
      <c r="D24" s="25">
        <v>1462</v>
      </c>
      <c r="E24" s="25">
        <v>1</v>
      </c>
      <c r="F24" s="44">
        <f t="shared" si="0"/>
        <v>15136</v>
      </c>
    </row>
    <row r="25" spans="2:6" x14ac:dyDescent="0.2">
      <c r="B25" s="15" t="s">
        <v>545</v>
      </c>
      <c r="C25" s="25">
        <v>13438</v>
      </c>
      <c r="D25" s="25">
        <v>1452</v>
      </c>
      <c r="E25" s="25">
        <v>1</v>
      </c>
      <c r="F25" s="44">
        <f t="shared" si="0"/>
        <v>14891</v>
      </c>
    </row>
    <row r="26" spans="2:6" x14ac:dyDescent="0.2">
      <c r="B26" s="15" t="s">
        <v>546</v>
      </c>
      <c r="C26" s="25">
        <v>13444</v>
      </c>
      <c r="D26" s="25">
        <v>1462</v>
      </c>
      <c r="E26" s="25">
        <v>1</v>
      </c>
      <c r="F26" s="44">
        <f t="shared" si="0"/>
        <v>14907</v>
      </c>
    </row>
    <row r="35" spans="2:6" ht="15" x14ac:dyDescent="0.25">
      <c r="B35" s="4" t="s">
        <v>531</v>
      </c>
    </row>
    <row r="36" spans="2:6" x14ac:dyDescent="0.2">
      <c r="B36" s="2" t="s">
        <v>532</v>
      </c>
    </row>
    <row r="38" spans="2:6" ht="15" x14ac:dyDescent="0.25">
      <c r="B38" s="45" t="s">
        <v>547</v>
      </c>
      <c r="C38" s="45" t="s">
        <v>533</v>
      </c>
      <c r="D38" s="45" t="s">
        <v>534</v>
      </c>
      <c r="E38" s="45" t="s">
        <v>535</v>
      </c>
      <c r="F38" s="45" t="s">
        <v>187</v>
      </c>
    </row>
    <row r="39" spans="2:6" x14ac:dyDescent="0.2">
      <c r="B39" s="25" t="s">
        <v>536</v>
      </c>
      <c r="C39" s="25">
        <v>14157</v>
      </c>
      <c r="D39" s="25">
        <v>1417</v>
      </c>
      <c r="E39" s="25">
        <v>1</v>
      </c>
      <c r="F39" s="44">
        <f>SUM(C39:E39)</f>
        <v>15575</v>
      </c>
    </row>
    <row r="40" spans="2:6" x14ac:dyDescent="0.2">
      <c r="B40" s="25" t="s">
        <v>537</v>
      </c>
      <c r="C40" s="25">
        <v>14267</v>
      </c>
      <c r="D40" s="25">
        <v>1427</v>
      </c>
      <c r="E40" s="25">
        <v>1</v>
      </c>
      <c r="F40" s="44">
        <f t="shared" ref="F40:F49" si="1">SUM(C40:E40)</f>
        <v>15695</v>
      </c>
    </row>
    <row r="41" spans="2:6" x14ac:dyDescent="0.2">
      <c r="B41" s="25" t="s">
        <v>538</v>
      </c>
      <c r="C41" s="25">
        <v>14339</v>
      </c>
      <c r="D41" s="25">
        <v>1440</v>
      </c>
      <c r="E41" s="25">
        <v>1</v>
      </c>
      <c r="F41" s="44">
        <f t="shared" si="1"/>
        <v>15780</v>
      </c>
    </row>
    <row r="42" spans="2:6" x14ac:dyDescent="0.2">
      <c r="B42" s="25" t="s">
        <v>539</v>
      </c>
      <c r="C42" s="25">
        <v>14248</v>
      </c>
      <c r="D42" s="25">
        <v>1443</v>
      </c>
      <c r="E42" s="25">
        <v>1</v>
      </c>
      <c r="F42" s="44">
        <f t="shared" si="1"/>
        <v>15692</v>
      </c>
    </row>
    <row r="43" spans="2:6" x14ac:dyDescent="0.2">
      <c r="B43" s="25" t="s">
        <v>540</v>
      </c>
      <c r="C43" s="25">
        <v>14146</v>
      </c>
      <c r="D43" s="25">
        <v>1450</v>
      </c>
      <c r="E43" s="25">
        <v>1</v>
      </c>
      <c r="F43" s="44">
        <f t="shared" si="1"/>
        <v>15597</v>
      </c>
    </row>
    <row r="44" spans="2:6" x14ac:dyDescent="0.2">
      <c r="B44" s="25" t="s">
        <v>541</v>
      </c>
      <c r="C44" s="25">
        <v>14027</v>
      </c>
      <c r="D44" s="25">
        <v>1458</v>
      </c>
      <c r="E44" s="25">
        <v>1</v>
      </c>
      <c r="F44" s="44">
        <f t="shared" si="1"/>
        <v>15486</v>
      </c>
    </row>
    <row r="45" spans="2:6" x14ac:dyDescent="0.2">
      <c r="B45" s="25" t="s">
        <v>542</v>
      </c>
      <c r="C45" s="25">
        <v>13905</v>
      </c>
      <c r="D45" s="25">
        <v>1472</v>
      </c>
      <c r="E45" s="25">
        <v>1</v>
      </c>
      <c r="F45" s="44">
        <f t="shared" si="1"/>
        <v>15378</v>
      </c>
    </row>
    <row r="46" spans="2:6" x14ac:dyDescent="0.2">
      <c r="B46" s="25" t="s">
        <v>543</v>
      </c>
      <c r="C46" s="25">
        <v>13837</v>
      </c>
      <c r="D46" s="25">
        <v>1478</v>
      </c>
      <c r="E46" s="25">
        <v>1</v>
      </c>
      <c r="F46" s="44">
        <f t="shared" si="1"/>
        <v>15316</v>
      </c>
    </row>
    <row r="47" spans="2:6" x14ac:dyDescent="0.2">
      <c r="B47" s="25" t="s">
        <v>544</v>
      </c>
      <c r="C47" s="25">
        <v>13673</v>
      </c>
      <c r="D47" s="25">
        <v>1462</v>
      </c>
      <c r="E47" s="25">
        <v>1</v>
      </c>
      <c r="F47" s="44">
        <f t="shared" si="1"/>
        <v>15136</v>
      </c>
    </row>
    <row r="48" spans="2:6" x14ac:dyDescent="0.2">
      <c r="B48" s="25" t="s">
        <v>545</v>
      </c>
      <c r="C48" s="25">
        <v>13438</v>
      </c>
      <c r="D48" s="25">
        <v>1452</v>
      </c>
      <c r="E48" s="25">
        <v>1</v>
      </c>
      <c r="F48" s="44">
        <f t="shared" si="1"/>
        <v>14891</v>
      </c>
    </row>
    <row r="49" spans="2:6" x14ac:dyDescent="0.2">
      <c r="B49" s="25" t="s">
        <v>546</v>
      </c>
      <c r="C49" s="25">
        <v>13444</v>
      </c>
      <c r="D49" s="25">
        <v>1462</v>
      </c>
      <c r="E49" s="25">
        <v>1</v>
      </c>
      <c r="F49" s="44">
        <f t="shared" si="1"/>
        <v>14907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1038-D722-4E4A-90B6-C227D4CD4F18}">
  <dimension ref="B9:H61"/>
  <sheetViews>
    <sheetView showGridLines="0" topLeftCell="B1" zoomScale="85" zoomScaleNormal="85" workbookViewId="0">
      <pane ySplit="3" topLeftCell="A28" activePane="bottomLeft" state="frozen"/>
      <selection pane="bottomLeft"/>
    </sheetView>
  </sheetViews>
  <sheetFormatPr baseColWidth="10" defaultColWidth="11.5" defaultRowHeight="14.25" x14ac:dyDescent="0.2"/>
  <cols>
    <col min="1" max="1" width="1.5" style="2" customWidth="1"/>
    <col min="2" max="2" width="26.75" style="2" customWidth="1"/>
    <col min="3" max="3" width="23.75" style="2" bestFit="1" customWidth="1"/>
    <col min="4" max="4" width="14.25" style="2" bestFit="1" customWidth="1"/>
    <col min="5" max="5" width="10.25" style="2" bestFit="1" customWidth="1"/>
    <col min="6" max="6" width="11.875" style="2" bestFit="1" customWidth="1"/>
    <col min="7" max="7" width="8.25" style="2" bestFit="1" customWidth="1"/>
    <col min="8" max="8" width="12.25" style="2" bestFit="1" customWidth="1"/>
    <col min="9" max="9" width="19.875" style="2" bestFit="1" customWidth="1"/>
    <col min="10" max="10" width="15.25" style="2" bestFit="1" customWidth="1"/>
    <col min="11" max="11" width="10.875" style="2" bestFit="1" customWidth="1"/>
    <col min="12" max="12" width="9.5" style="2" bestFit="1" customWidth="1"/>
    <col min="13" max="16384" width="11.5" style="2"/>
  </cols>
  <sheetData>
    <row r="9" spans="2:4" ht="15" x14ac:dyDescent="0.2">
      <c r="B9" s="14" t="s">
        <v>1060</v>
      </c>
      <c r="C9" s="14" t="s">
        <v>1061</v>
      </c>
      <c r="D9" s="14" t="s">
        <v>1062</v>
      </c>
    </row>
    <row r="10" spans="2:4" x14ac:dyDescent="0.2">
      <c r="B10" s="15" t="s">
        <v>1063</v>
      </c>
      <c r="C10" s="15" t="s">
        <v>1064</v>
      </c>
      <c r="D10" s="15">
        <v>1</v>
      </c>
    </row>
    <row r="11" spans="2:4" x14ac:dyDescent="0.2">
      <c r="B11" s="15" t="s">
        <v>1065</v>
      </c>
      <c r="C11" s="15" t="s">
        <v>1066</v>
      </c>
      <c r="D11" s="15">
        <v>2</v>
      </c>
    </row>
    <row r="12" spans="2:4" x14ac:dyDescent="0.2">
      <c r="B12" s="15" t="s">
        <v>1067</v>
      </c>
      <c r="C12" s="15" t="s">
        <v>1068</v>
      </c>
      <c r="D12" s="15">
        <v>2</v>
      </c>
    </row>
    <row r="13" spans="2:4" x14ac:dyDescent="0.2">
      <c r="B13" s="15" t="s">
        <v>1069</v>
      </c>
      <c r="C13" s="15" t="s">
        <v>187</v>
      </c>
      <c r="D13" s="15">
        <v>3</v>
      </c>
    </row>
    <row r="14" spans="2:4" x14ac:dyDescent="0.2">
      <c r="B14" s="15" t="s">
        <v>1070</v>
      </c>
      <c r="C14" s="15" t="s">
        <v>1071</v>
      </c>
      <c r="D14" s="15">
        <v>3</v>
      </c>
    </row>
    <row r="18" spans="2:6" ht="15" x14ac:dyDescent="0.25">
      <c r="B18" s="4" t="s">
        <v>672</v>
      </c>
    </row>
    <row r="19" spans="2:6" x14ac:dyDescent="0.2">
      <c r="B19" s="2" t="s">
        <v>673</v>
      </c>
    </row>
    <row r="21" spans="2:6" ht="15" x14ac:dyDescent="0.25">
      <c r="B21" s="21" t="s">
        <v>671</v>
      </c>
      <c r="C21" s="21" t="s">
        <v>674</v>
      </c>
      <c r="E21" s="3"/>
      <c r="F21" s="2" t="s">
        <v>1084</v>
      </c>
    </row>
    <row r="22" spans="2:6" x14ac:dyDescent="0.2">
      <c r="B22" s="15" t="s">
        <v>661</v>
      </c>
      <c r="C22" s="15">
        <v>5.5</v>
      </c>
      <c r="D22" s="2">
        <f>C22*1000000*1.6</f>
        <v>8800000</v>
      </c>
    </row>
    <row r="23" spans="2:6" x14ac:dyDescent="0.2">
      <c r="B23" s="15" t="s">
        <v>662</v>
      </c>
      <c r="C23" s="15">
        <v>5.4</v>
      </c>
      <c r="D23" s="2">
        <f t="shared" ref="D23:D31" si="0">C23*1000000*1.6</f>
        <v>8640000</v>
      </c>
    </row>
    <row r="24" spans="2:6" x14ac:dyDescent="0.2">
      <c r="B24" s="15" t="s">
        <v>663</v>
      </c>
      <c r="C24" s="15">
        <v>3.5</v>
      </c>
      <c r="D24" s="2">
        <f t="shared" si="0"/>
        <v>5600000</v>
      </c>
      <c r="F24" s="2">
        <f>3*4+3*3+2</f>
        <v>23</v>
      </c>
    </row>
    <row r="25" spans="2:6" x14ac:dyDescent="0.2">
      <c r="B25" s="15" t="s">
        <v>664</v>
      </c>
      <c r="C25" s="15">
        <v>1</v>
      </c>
      <c r="D25" s="2">
        <f t="shared" si="0"/>
        <v>1600000</v>
      </c>
    </row>
    <row r="26" spans="2:6" x14ac:dyDescent="0.2">
      <c r="B26" s="15" t="s">
        <v>665</v>
      </c>
      <c r="C26" s="15">
        <v>0.5</v>
      </c>
      <c r="D26" s="2">
        <f t="shared" si="0"/>
        <v>800000</v>
      </c>
    </row>
    <row r="27" spans="2:6" x14ac:dyDescent="0.2">
      <c r="B27" s="15" t="s">
        <v>666</v>
      </c>
      <c r="C27" s="15">
        <v>0.26</v>
      </c>
      <c r="D27" s="2">
        <f t="shared" si="0"/>
        <v>416000</v>
      </c>
    </row>
    <row r="28" spans="2:6" x14ac:dyDescent="0.2">
      <c r="B28" s="15" t="s">
        <v>667</v>
      </c>
      <c r="C28" s="15">
        <v>0.25</v>
      </c>
      <c r="D28" s="2">
        <f t="shared" si="0"/>
        <v>400000</v>
      </c>
    </row>
    <row r="29" spans="2:6" x14ac:dyDescent="0.2">
      <c r="B29" s="15" t="s">
        <v>668</v>
      </c>
      <c r="C29" s="15">
        <v>0.22</v>
      </c>
      <c r="D29" s="2">
        <f t="shared" si="0"/>
        <v>352000</v>
      </c>
    </row>
    <row r="30" spans="2:6" x14ac:dyDescent="0.2">
      <c r="B30" s="15" t="s">
        <v>669</v>
      </c>
      <c r="C30" s="15">
        <v>0.19</v>
      </c>
      <c r="D30" s="2">
        <f t="shared" si="0"/>
        <v>304000</v>
      </c>
    </row>
    <row r="31" spans="2:6" x14ac:dyDescent="0.2">
      <c r="B31" s="15" t="s">
        <v>670</v>
      </c>
      <c r="C31" s="15">
        <v>0.19</v>
      </c>
      <c r="D31" s="2">
        <f t="shared" si="0"/>
        <v>304000</v>
      </c>
    </row>
    <row r="38" spans="2:3" ht="15" x14ac:dyDescent="0.25">
      <c r="B38" s="21" t="s">
        <v>1060</v>
      </c>
      <c r="C38" s="21" t="s">
        <v>1061</v>
      </c>
    </row>
    <row r="39" spans="2:3" x14ac:dyDescent="0.2">
      <c r="B39" s="15" t="s">
        <v>1072</v>
      </c>
      <c r="C39" s="15" t="s">
        <v>1073</v>
      </c>
    </row>
    <row r="40" spans="2:3" x14ac:dyDescent="0.2">
      <c r="B40" s="15" t="s">
        <v>1074</v>
      </c>
      <c r="C40" s="15" t="s">
        <v>1075</v>
      </c>
    </row>
    <row r="41" spans="2:3" x14ac:dyDescent="0.2">
      <c r="B41" s="15" t="s">
        <v>1076</v>
      </c>
      <c r="C41" s="15" t="s">
        <v>1077</v>
      </c>
    </row>
    <row r="42" spans="2:3" x14ac:dyDescent="0.2">
      <c r="B42" s="15" t="s">
        <v>1078</v>
      </c>
      <c r="C42" s="15" t="s">
        <v>1079</v>
      </c>
    </row>
    <row r="43" spans="2:3" x14ac:dyDescent="0.2">
      <c r="B43" s="15" t="s">
        <v>1080</v>
      </c>
      <c r="C43" s="15" t="s">
        <v>1081</v>
      </c>
    </row>
    <row r="44" spans="2:3" x14ac:dyDescent="0.2">
      <c r="B44" s="15" t="s">
        <v>1082</v>
      </c>
      <c r="C44" s="15" t="s">
        <v>1083</v>
      </c>
    </row>
    <row r="48" spans="2:3" ht="15" x14ac:dyDescent="0.25">
      <c r="B48" s="4" t="s">
        <v>624</v>
      </c>
    </row>
    <row r="49" spans="2:8" x14ac:dyDescent="0.2">
      <c r="B49" s="2" t="s">
        <v>625</v>
      </c>
    </row>
    <row r="51" spans="2:8" ht="15" x14ac:dyDescent="0.25">
      <c r="B51" s="38" t="s">
        <v>330</v>
      </c>
      <c r="C51" s="38" t="s">
        <v>556</v>
      </c>
      <c r="D51" s="38" t="s">
        <v>557</v>
      </c>
      <c r="E51" s="39" t="s">
        <v>558</v>
      </c>
      <c r="F51" s="38" t="s">
        <v>559</v>
      </c>
      <c r="G51" s="38" t="s">
        <v>560</v>
      </c>
    </row>
    <row r="52" spans="2:8" x14ac:dyDescent="0.2">
      <c r="B52" s="2">
        <v>1</v>
      </c>
      <c r="C52" s="2" t="s">
        <v>424</v>
      </c>
      <c r="D52" s="2" t="s">
        <v>561</v>
      </c>
      <c r="E52" s="2" t="s">
        <v>562</v>
      </c>
      <c r="F52" s="2">
        <v>407.21</v>
      </c>
      <c r="G52" s="2" t="s">
        <v>563</v>
      </c>
      <c r="H52" s="2" t="b">
        <f>F52=300</f>
        <v>0</v>
      </c>
    </row>
    <row r="53" spans="2:8" x14ac:dyDescent="0.2">
      <c r="B53" s="2">
        <v>2</v>
      </c>
      <c r="C53" s="2" t="s">
        <v>307</v>
      </c>
      <c r="D53" s="2" t="s">
        <v>564</v>
      </c>
      <c r="E53" s="2" t="s">
        <v>565</v>
      </c>
      <c r="F53" s="2">
        <v>190.92</v>
      </c>
      <c r="G53" s="2" t="s">
        <v>563</v>
      </c>
      <c r="H53" s="2" t="b">
        <f t="shared" ref="H53:H61" si="1">F53=300</f>
        <v>0</v>
      </c>
    </row>
    <row r="54" spans="2:8" x14ac:dyDescent="0.2">
      <c r="B54" s="2">
        <v>3</v>
      </c>
      <c r="C54" s="2" t="s">
        <v>566</v>
      </c>
      <c r="D54" s="2" t="s">
        <v>567</v>
      </c>
      <c r="E54" s="2" t="s">
        <v>568</v>
      </c>
      <c r="F54" s="2">
        <v>8.34</v>
      </c>
      <c r="G54" s="2" t="s">
        <v>569</v>
      </c>
      <c r="H54" s="2" t="b">
        <f t="shared" si="1"/>
        <v>0</v>
      </c>
    </row>
    <row r="55" spans="2:8" x14ac:dyDescent="0.2">
      <c r="B55" s="2">
        <v>4</v>
      </c>
      <c r="C55" s="2" t="s">
        <v>570</v>
      </c>
      <c r="D55" s="2" t="s">
        <v>571</v>
      </c>
      <c r="E55" s="2" t="s">
        <v>572</v>
      </c>
      <c r="F55" s="2">
        <v>153.46</v>
      </c>
      <c r="G55" s="2" t="s">
        <v>563</v>
      </c>
      <c r="H55" s="2" t="b">
        <f t="shared" si="1"/>
        <v>0</v>
      </c>
    </row>
    <row r="56" spans="2:8" x14ac:dyDescent="0.2">
      <c r="B56" s="2">
        <v>5</v>
      </c>
      <c r="C56" s="2" t="s">
        <v>573</v>
      </c>
      <c r="D56" s="2" t="s">
        <v>574</v>
      </c>
      <c r="E56" s="2" t="s">
        <v>575</v>
      </c>
      <c r="F56" s="2">
        <v>160.05000000000001</v>
      </c>
      <c r="G56" s="2" t="s">
        <v>563</v>
      </c>
      <c r="H56" s="2" t="b">
        <f t="shared" si="1"/>
        <v>0</v>
      </c>
    </row>
    <row r="57" spans="2:8" x14ac:dyDescent="0.2">
      <c r="B57" s="2">
        <v>6</v>
      </c>
      <c r="C57" s="2" t="s">
        <v>576</v>
      </c>
      <c r="D57" s="2" t="s">
        <v>577</v>
      </c>
      <c r="E57" s="2" t="s">
        <v>578</v>
      </c>
      <c r="F57" s="2">
        <v>616.49</v>
      </c>
      <c r="G57" s="2" t="s">
        <v>563</v>
      </c>
      <c r="H57" s="2" t="b">
        <f t="shared" si="1"/>
        <v>0</v>
      </c>
    </row>
    <row r="58" spans="2:8" x14ac:dyDescent="0.2">
      <c r="B58" s="2">
        <v>7</v>
      </c>
      <c r="C58" s="2" t="s">
        <v>579</v>
      </c>
      <c r="D58" s="2" t="s">
        <v>580</v>
      </c>
      <c r="E58" s="2" t="s">
        <v>581</v>
      </c>
      <c r="F58" s="2">
        <v>399.96</v>
      </c>
      <c r="G58" s="2" t="s">
        <v>563</v>
      </c>
      <c r="H58" s="2" t="b">
        <f t="shared" si="1"/>
        <v>0</v>
      </c>
    </row>
    <row r="59" spans="2:8" x14ac:dyDescent="0.2">
      <c r="B59" s="2">
        <v>8</v>
      </c>
      <c r="C59" s="2" t="s">
        <v>582</v>
      </c>
      <c r="D59" s="2" t="s">
        <v>583</v>
      </c>
      <c r="E59" s="2" t="s">
        <v>584</v>
      </c>
      <c r="F59" s="2">
        <v>380.36</v>
      </c>
      <c r="G59" s="2" t="s">
        <v>563</v>
      </c>
      <c r="H59" s="2" t="b">
        <f t="shared" si="1"/>
        <v>0</v>
      </c>
    </row>
    <row r="60" spans="2:8" x14ac:dyDescent="0.2">
      <c r="B60" s="2">
        <v>9</v>
      </c>
      <c r="C60" s="2" t="s">
        <v>585</v>
      </c>
      <c r="D60" s="2" t="s">
        <v>586</v>
      </c>
      <c r="E60" s="2" t="s">
        <v>587</v>
      </c>
      <c r="F60" s="2">
        <v>644.09</v>
      </c>
      <c r="G60" s="2" t="s">
        <v>563</v>
      </c>
      <c r="H60" s="2" t="b">
        <f t="shared" si="1"/>
        <v>0</v>
      </c>
    </row>
    <row r="61" spans="2:8" x14ac:dyDescent="0.2">
      <c r="B61" s="2">
        <v>10</v>
      </c>
      <c r="C61" s="2" t="s">
        <v>588</v>
      </c>
      <c r="D61" s="2" t="s">
        <v>589</v>
      </c>
      <c r="E61" s="2" t="s">
        <v>590</v>
      </c>
      <c r="F61" s="2">
        <v>116.24</v>
      </c>
      <c r="G61" s="2" t="s">
        <v>591</v>
      </c>
      <c r="H61" s="2" t="b">
        <f t="shared" si="1"/>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EFE0C-965F-4D58-975B-862FB1273808}">
  <dimension ref="B13:G52"/>
  <sheetViews>
    <sheetView showGridLines="0" zoomScale="85" zoomScaleNormal="85" workbookViewId="0">
      <pane ySplit="3" topLeftCell="A19" activePane="bottomLeft" state="frozen"/>
      <selection pane="bottomLeft" activeCell="D42" sqref="D42"/>
    </sheetView>
  </sheetViews>
  <sheetFormatPr baseColWidth="10" defaultColWidth="11.5" defaultRowHeight="14.25" x14ac:dyDescent="0.2"/>
  <cols>
    <col min="1" max="1" width="1.5" style="2" customWidth="1"/>
    <col min="2" max="2" width="13.25" style="2" customWidth="1"/>
    <col min="3" max="3" width="15.25" style="2" customWidth="1"/>
    <col min="4" max="4" width="21.75" style="2" bestFit="1" customWidth="1"/>
    <col min="5" max="5" width="13.75" style="2" customWidth="1"/>
    <col min="6" max="6" width="16.5" style="2" customWidth="1"/>
    <col min="7"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13" spans="2:6" ht="15" x14ac:dyDescent="0.25">
      <c r="B13" s="4" t="s">
        <v>548</v>
      </c>
    </row>
    <row r="14" spans="2:6" x14ac:dyDescent="0.2">
      <c r="B14" s="2" t="s">
        <v>553</v>
      </c>
    </row>
    <row r="16" spans="2:6" ht="15" x14ac:dyDescent="0.25">
      <c r="B16" s="21" t="s">
        <v>63</v>
      </c>
      <c r="C16" s="21" t="s">
        <v>550</v>
      </c>
      <c r="D16" s="21" t="s">
        <v>1124</v>
      </c>
      <c r="E16" s="3"/>
      <c r="F16" s="21" t="s">
        <v>1124</v>
      </c>
    </row>
    <row r="17" spans="2:6" x14ac:dyDescent="0.2">
      <c r="B17" s="15" t="s">
        <v>536</v>
      </c>
      <c r="C17" s="15">
        <v>73.099999999999994</v>
      </c>
      <c r="D17" s="88">
        <f>C17/866.26</f>
        <v>8.4385750236649501E-2</v>
      </c>
      <c r="F17" s="2">
        <f>SUM(C17:C28)</f>
        <v>866.26</v>
      </c>
    </row>
    <row r="18" spans="2:6" x14ac:dyDescent="0.2">
      <c r="B18" s="15" t="s">
        <v>537</v>
      </c>
      <c r="C18" s="15">
        <v>73.900000000000006</v>
      </c>
      <c r="D18" s="88">
        <f t="shared" ref="D18:D28" si="0">C18/866.26</f>
        <v>8.5309260499157311E-2</v>
      </c>
    </row>
    <row r="19" spans="2:6" x14ac:dyDescent="0.2">
      <c r="B19" s="15" t="s">
        <v>538</v>
      </c>
      <c r="C19" s="15">
        <v>74.400000000000006</v>
      </c>
      <c r="D19" s="88">
        <f t="shared" si="0"/>
        <v>8.5886454413224678E-2</v>
      </c>
    </row>
    <row r="20" spans="2:6" x14ac:dyDescent="0.2">
      <c r="B20" s="15" t="s">
        <v>539</v>
      </c>
      <c r="C20" s="15">
        <v>70.7</v>
      </c>
      <c r="D20" s="88">
        <f t="shared" si="0"/>
        <v>8.1615219449126128E-2</v>
      </c>
      <c r="F20" s="87"/>
    </row>
    <row r="21" spans="2:6" x14ac:dyDescent="0.2">
      <c r="B21" s="15" t="s">
        <v>540</v>
      </c>
      <c r="C21" s="15">
        <v>65.3</v>
      </c>
      <c r="D21" s="88">
        <f t="shared" si="0"/>
        <v>7.5381525177198525E-2</v>
      </c>
    </row>
    <row r="22" spans="2:6" x14ac:dyDescent="0.2">
      <c r="B22" s="15" t="s">
        <v>541</v>
      </c>
      <c r="C22" s="15">
        <v>65.099999999999994</v>
      </c>
      <c r="D22" s="88">
        <f t="shared" si="0"/>
        <v>7.5150647611571572E-2</v>
      </c>
    </row>
    <row r="23" spans="2:6" x14ac:dyDescent="0.2">
      <c r="B23" s="15" t="s">
        <v>542</v>
      </c>
      <c r="C23" s="15">
        <v>66.8</v>
      </c>
      <c r="D23" s="88">
        <f t="shared" si="0"/>
        <v>7.711310691940064E-2</v>
      </c>
    </row>
    <row r="24" spans="2:6" x14ac:dyDescent="0.2">
      <c r="B24" s="15" t="s">
        <v>543</v>
      </c>
      <c r="C24" s="15">
        <v>67.7</v>
      </c>
      <c r="D24" s="88">
        <f t="shared" si="0"/>
        <v>7.8152055964721912E-2</v>
      </c>
    </row>
    <row r="25" spans="2:6" x14ac:dyDescent="0.2">
      <c r="B25" s="15" t="s">
        <v>544</v>
      </c>
      <c r="C25" s="15">
        <v>70.95</v>
      </c>
      <c r="D25" s="88">
        <f t="shared" si="0"/>
        <v>8.1903816406159818E-2</v>
      </c>
    </row>
    <row r="26" spans="2:6" x14ac:dyDescent="0.2">
      <c r="B26" s="15" t="s">
        <v>545</v>
      </c>
      <c r="C26" s="15">
        <v>76.12</v>
      </c>
      <c r="D26" s="88">
        <f t="shared" si="0"/>
        <v>8.7872001477616424E-2</v>
      </c>
    </row>
    <row r="27" spans="2:6" x14ac:dyDescent="0.2">
      <c r="B27" s="15" t="s">
        <v>546</v>
      </c>
      <c r="C27" s="15">
        <v>80.19</v>
      </c>
      <c r="D27" s="88">
        <f t="shared" si="0"/>
        <v>9.2570359938124805E-2</v>
      </c>
    </row>
    <row r="28" spans="2:6" x14ac:dyDescent="0.2">
      <c r="B28" s="15" t="s">
        <v>549</v>
      </c>
      <c r="C28" s="15">
        <v>82</v>
      </c>
      <c r="D28" s="88">
        <f t="shared" si="0"/>
        <v>9.4659801907048688E-2</v>
      </c>
    </row>
    <row r="37" spans="2:7" ht="15" x14ac:dyDescent="0.25">
      <c r="B37" s="4" t="s">
        <v>548</v>
      </c>
    </row>
    <row r="38" spans="2:7" x14ac:dyDescent="0.2">
      <c r="B38" s="2" t="s">
        <v>553</v>
      </c>
    </row>
    <row r="40" spans="2:7" ht="15" x14ac:dyDescent="0.25">
      <c r="B40" s="21" t="s">
        <v>63</v>
      </c>
      <c r="C40" s="21" t="s">
        <v>550</v>
      </c>
      <c r="D40" s="21" t="s">
        <v>1125</v>
      </c>
    </row>
    <row r="41" spans="2:7" x14ac:dyDescent="0.2">
      <c r="B41" s="15" t="s">
        <v>536</v>
      </c>
      <c r="C41" s="15">
        <v>73.099999999999994</v>
      </c>
      <c r="D41" s="89" t="s">
        <v>1070</v>
      </c>
      <c r="F41" s="2">
        <v>2020</v>
      </c>
      <c r="G41" s="2">
        <v>20</v>
      </c>
    </row>
    <row r="42" spans="2:7" x14ac:dyDescent="0.2">
      <c r="B42" s="15" t="s">
        <v>537</v>
      </c>
      <c r="C42" s="15">
        <v>73.900000000000006</v>
      </c>
      <c r="D42" s="89">
        <f>(C42-C41)/C42</f>
        <v>1.0825439783491358E-2</v>
      </c>
      <c r="F42" s="2">
        <v>2021</v>
      </c>
      <c r="G42" s="2">
        <v>40</v>
      </c>
    </row>
    <row r="43" spans="2:7" x14ac:dyDescent="0.2">
      <c r="B43" s="15" t="s">
        <v>538</v>
      </c>
      <c r="C43" s="15">
        <v>74.400000000000006</v>
      </c>
      <c r="D43" s="89">
        <f t="shared" ref="D43:D52" si="1">(C43-C42)/C43</f>
        <v>6.720430107526881E-3</v>
      </c>
      <c r="F43" s="2" t="s">
        <v>1125</v>
      </c>
      <c r="G43" s="2">
        <v>20</v>
      </c>
    </row>
    <row r="44" spans="2:7" x14ac:dyDescent="0.2">
      <c r="B44" s="15" t="s">
        <v>539</v>
      </c>
      <c r="C44" s="15">
        <v>70.7</v>
      </c>
      <c r="D44" s="89">
        <f t="shared" si="1"/>
        <v>-5.2333804809052371E-2</v>
      </c>
      <c r="F44" s="2" t="s">
        <v>1126</v>
      </c>
      <c r="G44" s="87">
        <f>G43/G42</f>
        <v>0.5</v>
      </c>
    </row>
    <row r="45" spans="2:7" x14ac:dyDescent="0.2">
      <c r="B45" s="15" t="s">
        <v>540</v>
      </c>
      <c r="C45" s="15">
        <v>65.3</v>
      </c>
      <c r="D45" s="89">
        <f t="shared" si="1"/>
        <v>-8.2695252679938838E-2</v>
      </c>
    </row>
    <row r="46" spans="2:7" x14ac:dyDescent="0.2">
      <c r="B46" s="15" t="s">
        <v>541</v>
      </c>
      <c r="C46" s="15">
        <v>65.099999999999994</v>
      </c>
      <c r="D46" s="89">
        <f t="shared" si="1"/>
        <v>-3.0721966205837612E-3</v>
      </c>
    </row>
    <row r="47" spans="2:7" x14ac:dyDescent="0.2">
      <c r="B47" s="15" t="s">
        <v>542</v>
      </c>
      <c r="C47" s="15">
        <v>66.8</v>
      </c>
      <c r="D47" s="89">
        <f t="shared" si="1"/>
        <v>2.544910179640723E-2</v>
      </c>
    </row>
    <row r="48" spans="2:7" x14ac:dyDescent="0.2">
      <c r="B48" s="15" t="s">
        <v>543</v>
      </c>
      <c r="C48" s="15">
        <v>67.7</v>
      </c>
      <c r="D48" s="89">
        <f t="shared" si="1"/>
        <v>1.3293943870014854E-2</v>
      </c>
    </row>
    <row r="49" spans="2:4" x14ac:dyDescent="0.2">
      <c r="B49" s="15" t="s">
        <v>544</v>
      </c>
      <c r="C49" s="15">
        <v>70.95</v>
      </c>
      <c r="D49" s="89">
        <f t="shared" si="1"/>
        <v>4.5806906272022552E-2</v>
      </c>
    </row>
    <row r="50" spans="2:4" x14ac:dyDescent="0.2">
      <c r="B50" s="15" t="s">
        <v>545</v>
      </c>
      <c r="C50" s="15">
        <v>76.12</v>
      </c>
      <c r="D50" s="89">
        <f t="shared" si="1"/>
        <v>6.7919075144508692E-2</v>
      </c>
    </row>
    <row r="51" spans="2:4" x14ac:dyDescent="0.2">
      <c r="B51" s="15" t="s">
        <v>546</v>
      </c>
      <c r="C51" s="15">
        <v>80.19</v>
      </c>
      <c r="D51" s="89">
        <f t="shared" si="1"/>
        <v>5.0754458161865489E-2</v>
      </c>
    </row>
    <row r="52" spans="2:4" x14ac:dyDescent="0.2">
      <c r="B52" s="15" t="s">
        <v>549</v>
      </c>
      <c r="C52" s="15">
        <v>82</v>
      </c>
      <c r="D52" s="89">
        <f t="shared" si="1"/>
        <v>2.2073170731707344E-2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20C01-DBD7-4C1D-B61E-F5CF6DCE7020}">
  <dimension ref="B17:K98"/>
  <sheetViews>
    <sheetView showGridLines="0" zoomScale="115" zoomScaleNormal="115" workbookViewId="0">
      <pane ySplit="3" topLeftCell="A69" activePane="bottomLeft" state="frozen"/>
      <selection pane="bottomLeft" activeCell="D71" sqref="D71"/>
    </sheetView>
  </sheetViews>
  <sheetFormatPr baseColWidth="10" defaultColWidth="11.5" defaultRowHeight="14.25" x14ac:dyDescent="0.2"/>
  <cols>
    <col min="1" max="1" width="1.5" style="2" customWidth="1"/>
    <col min="2" max="2" width="13.25" style="2" customWidth="1"/>
    <col min="3" max="3" width="15.25" style="2" customWidth="1"/>
    <col min="4" max="4" width="21.75" style="2" bestFit="1" customWidth="1"/>
    <col min="5" max="5" width="20.875" style="2" customWidth="1"/>
    <col min="6" max="6" width="14.5" style="2" bestFit="1" customWidth="1"/>
    <col min="7"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17" spans="2:4" ht="15" x14ac:dyDescent="0.25">
      <c r="B17" s="4" t="s">
        <v>548</v>
      </c>
    </row>
    <row r="18" spans="2:4" x14ac:dyDescent="0.2">
      <c r="B18" s="2" t="s">
        <v>553</v>
      </c>
    </row>
    <row r="20" spans="2:4" ht="15" x14ac:dyDescent="0.25">
      <c r="B20" s="21" t="s">
        <v>63</v>
      </c>
      <c r="C20" s="21" t="s">
        <v>550</v>
      </c>
      <c r="D20" s="21" t="s">
        <v>552</v>
      </c>
    </row>
    <row r="21" spans="2:4" x14ac:dyDescent="0.2">
      <c r="B21" s="15" t="s">
        <v>536</v>
      </c>
      <c r="C21" s="15">
        <v>73.099999999999994</v>
      </c>
      <c r="D21" s="42">
        <f>C21*1000000000</f>
        <v>73100000000</v>
      </c>
    </row>
    <row r="22" spans="2:4" x14ac:dyDescent="0.2">
      <c r="B22" s="15" t="s">
        <v>537</v>
      </c>
      <c r="C22" s="15">
        <v>73.900000000000006</v>
      </c>
      <c r="D22" s="42">
        <f>C22*1000000000</f>
        <v>73900000000</v>
      </c>
    </row>
    <row r="23" spans="2:4" x14ac:dyDescent="0.2">
      <c r="B23" s="15" t="s">
        <v>538</v>
      </c>
      <c r="C23" s="15">
        <v>74.400000000000006</v>
      </c>
      <c r="D23" s="42">
        <f>C23*1000000000</f>
        <v>74400000000</v>
      </c>
    </row>
    <row r="24" spans="2:4" x14ac:dyDescent="0.2">
      <c r="B24" s="15" t="s">
        <v>539</v>
      </c>
      <c r="C24" s="15">
        <v>70.7</v>
      </c>
      <c r="D24" s="42">
        <f>C24*1000000000</f>
        <v>70700000000</v>
      </c>
    </row>
    <row r="25" spans="2:4" x14ac:dyDescent="0.2">
      <c r="B25" s="15" t="s">
        <v>540</v>
      </c>
      <c r="C25" s="15">
        <v>65.3</v>
      </c>
      <c r="D25" s="42">
        <f t="shared" ref="D25:D32" si="0">C25*1000000000</f>
        <v>65300000000</v>
      </c>
    </row>
    <row r="26" spans="2:4" x14ac:dyDescent="0.2">
      <c r="B26" s="15" t="s">
        <v>541</v>
      </c>
      <c r="C26" s="15">
        <v>65.099999999999994</v>
      </c>
      <c r="D26" s="42">
        <f t="shared" si="0"/>
        <v>65099999999.999992</v>
      </c>
    </row>
    <row r="27" spans="2:4" x14ac:dyDescent="0.2">
      <c r="B27" s="15" t="s">
        <v>542</v>
      </c>
      <c r="C27" s="15">
        <v>66.8</v>
      </c>
      <c r="D27" s="42">
        <f t="shared" si="0"/>
        <v>66800000000</v>
      </c>
    </row>
    <row r="28" spans="2:4" x14ac:dyDescent="0.2">
      <c r="B28" s="15" t="s">
        <v>543</v>
      </c>
      <c r="C28" s="15">
        <v>67.7</v>
      </c>
      <c r="D28" s="42">
        <f t="shared" si="0"/>
        <v>67700000000</v>
      </c>
    </row>
    <row r="29" spans="2:4" x14ac:dyDescent="0.2">
      <c r="B29" s="15" t="s">
        <v>544</v>
      </c>
      <c r="C29" s="15">
        <v>70.95</v>
      </c>
      <c r="D29" s="42">
        <f t="shared" si="0"/>
        <v>70950000000</v>
      </c>
    </row>
    <row r="30" spans="2:4" x14ac:dyDescent="0.2">
      <c r="B30" s="15" t="s">
        <v>545</v>
      </c>
      <c r="C30" s="15">
        <v>76.12</v>
      </c>
      <c r="D30" s="42">
        <f t="shared" si="0"/>
        <v>76120000000</v>
      </c>
    </row>
    <row r="31" spans="2:4" x14ac:dyDescent="0.2">
      <c r="B31" s="15" t="s">
        <v>546</v>
      </c>
      <c r="C31" s="15">
        <v>80.19</v>
      </c>
      <c r="D31" s="42">
        <f t="shared" si="0"/>
        <v>80190000000</v>
      </c>
    </row>
    <row r="32" spans="2:4" x14ac:dyDescent="0.2">
      <c r="B32" s="15" t="s">
        <v>549</v>
      </c>
      <c r="C32" s="15">
        <v>82</v>
      </c>
      <c r="D32" s="42">
        <f t="shared" si="0"/>
        <v>82000000000</v>
      </c>
    </row>
    <row r="40" spans="2:6" customFormat="1" x14ac:dyDescent="0.2"/>
    <row r="41" spans="2:6" customFormat="1" ht="15" x14ac:dyDescent="0.25">
      <c r="B41" s="4" t="s">
        <v>548</v>
      </c>
      <c r="C41" s="2"/>
      <c r="D41" s="2"/>
    </row>
    <row r="42" spans="2:6" customFormat="1" x14ac:dyDescent="0.2">
      <c r="B42" s="2" t="s">
        <v>553</v>
      </c>
      <c r="C42" s="2"/>
      <c r="D42" s="2"/>
    </row>
    <row r="43" spans="2:6" customFormat="1" x14ac:dyDescent="0.2">
      <c r="B43" s="2"/>
      <c r="C43" s="2"/>
      <c r="D43" s="2"/>
    </row>
    <row r="44" spans="2:6" customFormat="1" ht="15" x14ac:dyDescent="0.25">
      <c r="B44" s="21" t="s">
        <v>63</v>
      </c>
      <c r="C44" s="21" t="s">
        <v>550</v>
      </c>
      <c r="D44" s="21" t="s">
        <v>552</v>
      </c>
      <c r="F44" s="21" t="s">
        <v>551</v>
      </c>
    </row>
    <row r="45" spans="2:6" customFormat="1" x14ac:dyDescent="0.2">
      <c r="B45" s="15" t="s">
        <v>536</v>
      </c>
      <c r="C45" s="15">
        <v>73.099999999999994</v>
      </c>
      <c r="D45" s="42">
        <f>C45*$F$45</f>
        <v>73100000000</v>
      </c>
      <c r="F45" s="40">
        <v>1000000000</v>
      </c>
    </row>
    <row r="46" spans="2:6" customFormat="1" x14ac:dyDescent="0.2">
      <c r="B46" s="15" t="s">
        <v>537</v>
      </c>
      <c r="C46" s="15">
        <v>73.900000000000006</v>
      </c>
      <c r="D46" s="42">
        <f t="shared" ref="D46:D56" si="1">C46*$F$45</f>
        <v>73900000000</v>
      </c>
    </row>
    <row r="47" spans="2:6" customFormat="1" x14ac:dyDescent="0.2">
      <c r="B47" s="15" t="s">
        <v>538</v>
      </c>
      <c r="C47" s="15">
        <v>74.400000000000006</v>
      </c>
      <c r="D47" s="42">
        <f t="shared" si="1"/>
        <v>74400000000</v>
      </c>
    </row>
    <row r="48" spans="2:6" customFormat="1" x14ac:dyDescent="0.2">
      <c r="B48" s="15" t="s">
        <v>539</v>
      </c>
      <c r="C48" s="15">
        <v>70.7</v>
      </c>
      <c r="D48" s="42">
        <f t="shared" si="1"/>
        <v>70700000000</v>
      </c>
    </row>
    <row r="49" spans="2:4" x14ac:dyDescent="0.2">
      <c r="B49" s="15" t="s">
        <v>540</v>
      </c>
      <c r="C49" s="15">
        <v>65.3</v>
      </c>
      <c r="D49" s="42">
        <f t="shared" si="1"/>
        <v>65300000000</v>
      </c>
    </row>
    <row r="50" spans="2:4" x14ac:dyDescent="0.2">
      <c r="B50" s="15" t="s">
        <v>541</v>
      </c>
      <c r="C50" s="15">
        <v>65.099999999999994</v>
      </c>
      <c r="D50" s="42">
        <f t="shared" si="1"/>
        <v>65099999999.999992</v>
      </c>
    </row>
    <row r="51" spans="2:4" x14ac:dyDescent="0.2">
      <c r="B51" s="15" t="s">
        <v>542</v>
      </c>
      <c r="C51" s="15">
        <v>66.8</v>
      </c>
      <c r="D51" s="42">
        <f t="shared" si="1"/>
        <v>66800000000</v>
      </c>
    </row>
    <row r="52" spans="2:4" x14ac:dyDescent="0.2">
      <c r="B52" s="15" t="s">
        <v>543</v>
      </c>
      <c r="C52" s="15">
        <v>67.7</v>
      </c>
      <c r="D52" s="42">
        <f t="shared" si="1"/>
        <v>67700000000</v>
      </c>
    </row>
    <row r="53" spans="2:4" x14ac:dyDescent="0.2">
      <c r="B53" s="15" t="s">
        <v>544</v>
      </c>
      <c r="C53" s="15">
        <v>70.95</v>
      </c>
      <c r="D53" s="42">
        <f t="shared" si="1"/>
        <v>70950000000</v>
      </c>
    </row>
    <row r="54" spans="2:4" x14ac:dyDescent="0.2">
      <c r="B54" s="15" t="s">
        <v>545</v>
      </c>
      <c r="C54" s="15">
        <v>76.12</v>
      </c>
      <c r="D54" s="42">
        <f t="shared" si="1"/>
        <v>76120000000</v>
      </c>
    </row>
    <row r="55" spans="2:4" x14ac:dyDescent="0.2">
      <c r="B55" s="15" t="s">
        <v>546</v>
      </c>
      <c r="C55" s="15">
        <v>80.19</v>
      </c>
      <c r="D55" s="42">
        <f t="shared" si="1"/>
        <v>80190000000</v>
      </c>
    </row>
    <row r="56" spans="2:4" x14ac:dyDescent="0.2">
      <c r="B56" s="15" t="s">
        <v>549</v>
      </c>
      <c r="C56" s="15">
        <v>82</v>
      </c>
      <c r="D56" s="42">
        <f t="shared" si="1"/>
        <v>82000000000</v>
      </c>
    </row>
    <row r="66" spans="2:8" ht="15" x14ac:dyDescent="0.25">
      <c r="B66" s="4" t="s">
        <v>548</v>
      </c>
      <c r="E66"/>
      <c r="F66"/>
    </row>
    <row r="67" spans="2:8" x14ac:dyDescent="0.2">
      <c r="B67" s="2" t="s">
        <v>553</v>
      </c>
      <c r="E67"/>
      <c r="F67"/>
    </row>
    <row r="68" spans="2:8" x14ac:dyDescent="0.2">
      <c r="E68"/>
      <c r="F68"/>
    </row>
    <row r="69" spans="2:8" ht="15" x14ac:dyDescent="0.25">
      <c r="B69" s="21" t="s">
        <v>63</v>
      </c>
      <c r="C69" s="21" t="s">
        <v>550</v>
      </c>
      <c r="D69" s="21" t="s">
        <v>552</v>
      </c>
      <c r="E69" s="21" t="s">
        <v>554</v>
      </c>
      <c r="G69" s="21" t="s">
        <v>551</v>
      </c>
      <c r="H69" s="21" t="s">
        <v>555</v>
      </c>
    </row>
    <row r="70" spans="2:8" x14ac:dyDescent="0.2">
      <c r="B70" s="15" t="s">
        <v>536</v>
      </c>
      <c r="C70" s="15">
        <v>73.099999999999994</v>
      </c>
      <c r="D70" s="42">
        <f>C70*G$70</f>
        <v>73100000000</v>
      </c>
      <c r="E70" s="42">
        <f>D70*H$70</f>
        <v>1257320000000</v>
      </c>
      <c r="G70" s="40">
        <v>1000000000</v>
      </c>
      <c r="H70" s="41">
        <v>17.2</v>
      </c>
    </row>
    <row r="71" spans="2:8" x14ac:dyDescent="0.2">
      <c r="B71" s="15" t="s">
        <v>537</v>
      </c>
      <c r="C71" s="15">
        <v>73.900000000000006</v>
      </c>
      <c r="D71" s="42">
        <f t="shared" ref="D71:D81" si="2">C71*G$70</f>
        <v>73900000000</v>
      </c>
      <c r="E71" s="42">
        <f t="shared" ref="E71:E81" si="3">D71*H$70</f>
        <v>1271080000000</v>
      </c>
      <c r="F71"/>
    </row>
    <row r="72" spans="2:8" x14ac:dyDescent="0.2">
      <c r="B72" s="15" t="s">
        <v>538</v>
      </c>
      <c r="C72" s="15">
        <v>74.400000000000006</v>
      </c>
      <c r="D72" s="42">
        <f t="shared" si="2"/>
        <v>74400000000</v>
      </c>
      <c r="E72" s="42">
        <f t="shared" si="3"/>
        <v>1279680000000</v>
      </c>
      <c r="F72"/>
    </row>
    <row r="73" spans="2:8" x14ac:dyDescent="0.2">
      <c r="B73" s="15" t="s">
        <v>539</v>
      </c>
      <c r="C73" s="15">
        <v>70.7</v>
      </c>
      <c r="D73" s="42">
        <f t="shared" si="2"/>
        <v>70700000000</v>
      </c>
      <c r="E73" s="42">
        <f t="shared" si="3"/>
        <v>1216040000000</v>
      </c>
      <c r="F73"/>
      <c r="G73" s="2" t="s">
        <v>1085</v>
      </c>
    </row>
    <row r="74" spans="2:8" x14ac:dyDescent="0.2">
      <c r="B74" s="15" t="s">
        <v>540</v>
      </c>
      <c r="C74" s="15">
        <v>65.3</v>
      </c>
      <c r="D74" s="42">
        <f t="shared" si="2"/>
        <v>65300000000</v>
      </c>
      <c r="E74" s="42">
        <f t="shared" si="3"/>
        <v>1123160000000</v>
      </c>
      <c r="G74" s="2" t="s">
        <v>1086</v>
      </c>
    </row>
    <row r="75" spans="2:8" x14ac:dyDescent="0.2">
      <c r="B75" s="15" t="s">
        <v>541</v>
      </c>
      <c r="C75" s="15">
        <v>65.099999999999994</v>
      </c>
      <c r="D75" s="42">
        <f t="shared" si="2"/>
        <v>65099999999.999992</v>
      </c>
      <c r="E75" s="42">
        <f t="shared" si="3"/>
        <v>1119719999999.9998</v>
      </c>
    </row>
    <row r="76" spans="2:8" x14ac:dyDescent="0.2">
      <c r="B76" s="15" t="s">
        <v>542</v>
      </c>
      <c r="C76" s="15">
        <v>66.8</v>
      </c>
      <c r="D76" s="42">
        <f t="shared" si="2"/>
        <v>66800000000</v>
      </c>
      <c r="E76" s="42">
        <f t="shared" si="3"/>
        <v>1148960000000</v>
      </c>
    </row>
    <row r="77" spans="2:8" x14ac:dyDescent="0.2">
      <c r="B77" s="15" t="s">
        <v>543</v>
      </c>
      <c r="C77" s="15">
        <v>67.7</v>
      </c>
      <c r="D77" s="42">
        <f t="shared" si="2"/>
        <v>67700000000</v>
      </c>
      <c r="E77" s="42">
        <f t="shared" si="3"/>
        <v>1164440000000</v>
      </c>
    </row>
    <row r="78" spans="2:8" x14ac:dyDescent="0.2">
      <c r="B78" s="15" t="s">
        <v>544</v>
      </c>
      <c r="C78" s="15">
        <v>70.95</v>
      </c>
      <c r="D78" s="42">
        <f t="shared" si="2"/>
        <v>70950000000</v>
      </c>
      <c r="E78" s="42">
        <f t="shared" si="3"/>
        <v>1220340000000</v>
      </c>
    </row>
    <row r="79" spans="2:8" x14ac:dyDescent="0.2">
      <c r="B79" s="15" t="s">
        <v>545</v>
      </c>
      <c r="C79" s="15">
        <v>76.12</v>
      </c>
      <c r="D79" s="42">
        <f t="shared" si="2"/>
        <v>76120000000</v>
      </c>
      <c r="E79" s="42">
        <f t="shared" si="3"/>
        <v>1309264000000</v>
      </c>
    </row>
    <row r="80" spans="2:8" x14ac:dyDescent="0.2">
      <c r="B80" s="15" t="s">
        <v>546</v>
      </c>
      <c r="C80" s="15">
        <v>80.19</v>
      </c>
      <c r="D80" s="42">
        <f t="shared" si="2"/>
        <v>80190000000</v>
      </c>
      <c r="E80" s="42">
        <f t="shared" si="3"/>
        <v>1379268000000</v>
      </c>
    </row>
    <row r="81" spans="2:11" x14ac:dyDescent="0.2">
      <c r="B81" s="15" t="s">
        <v>549</v>
      </c>
      <c r="C81" s="15">
        <v>82</v>
      </c>
      <c r="D81" s="42">
        <f t="shared" si="2"/>
        <v>82000000000</v>
      </c>
      <c r="E81" s="42">
        <f t="shared" si="3"/>
        <v>1410400000000</v>
      </c>
    </row>
    <row r="89" spans="2:11" ht="15" x14ac:dyDescent="0.2">
      <c r="B89" s="14">
        <v>20</v>
      </c>
      <c r="C89" s="14">
        <v>40</v>
      </c>
      <c r="D89" s="14">
        <v>60</v>
      </c>
      <c r="E89" s="14">
        <v>80</v>
      </c>
      <c r="F89" s="14">
        <v>100</v>
      </c>
      <c r="G89" s="14">
        <v>120</v>
      </c>
      <c r="H89" s="14">
        <v>140</v>
      </c>
      <c r="I89" s="14">
        <v>160</v>
      </c>
      <c r="J89" s="14">
        <v>180</v>
      </c>
      <c r="K89" s="14">
        <v>200</v>
      </c>
    </row>
    <row r="90" spans="2:11" ht="15" x14ac:dyDescent="0.2">
      <c r="B90" s="14">
        <v>40</v>
      </c>
      <c r="C90" s="19"/>
      <c r="D90" s="19"/>
      <c r="E90" s="19"/>
      <c r="F90" s="19"/>
      <c r="G90" s="19"/>
      <c r="H90" s="19"/>
      <c r="I90" s="19"/>
      <c r="J90" s="19"/>
      <c r="K90" s="19"/>
    </row>
    <row r="91" spans="2:11" ht="15" x14ac:dyDescent="0.2">
      <c r="B91" s="14">
        <v>60</v>
      </c>
      <c r="C91" s="19"/>
      <c r="D91" s="19"/>
      <c r="E91" s="19"/>
      <c r="F91" s="19"/>
      <c r="G91" s="19"/>
      <c r="H91" s="19"/>
      <c r="I91" s="19"/>
      <c r="J91" s="19"/>
      <c r="K91" s="19"/>
    </row>
    <row r="92" spans="2:11" ht="15" x14ac:dyDescent="0.2">
      <c r="B92" s="14">
        <v>80</v>
      </c>
      <c r="C92" s="19"/>
      <c r="D92" s="19"/>
      <c r="E92" s="19"/>
      <c r="F92" s="19"/>
      <c r="G92" s="19"/>
      <c r="H92" s="19"/>
      <c r="I92" s="19"/>
      <c r="J92" s="19"/>
      <c r="K92" s="19"/>
    </row>
    <row r="93" spans="2:11" ht="15" x14ac:dyDescent="0.2">
      <c r="B93" s="14">
        <v>100</v>
      </c>
      <c r="C93" s="19"/>
      <c r="D93" s="19"/>
      <c r="E93" s="19"/>
      <c r="F93" s="19"/>
      <c r="G93" s="19"/>
      <c r="H93" s="19"/>
      <c r="I93" s="19"/>
      <c r="J93" s="19"/>
      <c r="K93" s="19"/>
    </row>
    <row r="94" spans="2:11" ht="15" x14ac:dyDescent="0.2">
      <c r="B94" s="14">
        <v>120</v>
      </c>
      <c r="C94" s="19"/>
      <c r="D94" s="19"/>
      <c r="E94" s="19"/>
      <c r="F94" s="19"/>
      <c r="G94" s="19"/>
      <c r="H94" s="19"/>
      <c r="I94" s="19"/>
      <c r="J94" s="19"/>
      <c r="K94" s="19"/>
    </row>
    <row r="95" spans="2:11" ht="15" x14ac:dyDescent="0.2">
      <c r="B95" s="14">
        <v>140</v>
      </c>
      <c r="C95" s="19"/>
      <c r="D95" s="19"/>
      <c r="E95" s="19"/>
      <c r="F95" s="19"/>
      <c r="G95" s="19"/>
      <c r="H95" s="19"/>
      <c r="I95" s="19"/>
      <c r="J95" s="19"/>
      <c r="K95" s="19"/>
    </row>
    <row r="96" spans="2:11" ht="15" x14ac:dyDescent="0.2">
      <c r="B96" s="14">
        <v>160</v>
      </c>
      <c r="C96" s="19"/>
      <c r="D96" s="19"/>
      <c r="E96" s="19"/>
      <c r="F96" s="19"/>
      <c r="G96" s="19"/>
      <c r="H96" s="19"/>
      <c r="I96" s="19"/>
      <c r="J96" s="19"/>
      <c r="K96" s="19"/>
    </row>
    <row r="97" spans="2:11" ht="15" x14ac:dyDescent="0.2">
      <c r="B97" s="14">
        <v>180</v>
      </c>
      <c r="C97" s="19"/>
      <c r="D97" s="19"/>
      <c r="E97" s="19"/>
      <c r="F97" s="19"/>
      <c r="G97" s="19"/>
      <c r="H97" s="19"/>
      <c r="I97" s="19"/>
      <c r="J97" s="19"/>
      <c r="K97" s="19"/>
    </row>
    <row r="98" spans="2:11" ht="15" x14ac:dyDescent="0.2">
      <c r="B98" s="14">
        <v>200</v>
      </c>
      <c r="C98" s="19"/>
      <c r="D98" s="19"/>
      <c r="E98" s="19"/>
      <c r="F98" s="19"/>
      <c r="G98" s="19"/>
      <c r="H98" s="19"/>
      <c r="I98" s="19"/>
      <c r="J98" s="19"/>
      <c r="K98" s="1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6390-120A-4683-97CC-FB6251D7A136}">
  <dimension ref="B25:G48"/>
  <sheetViews>
    <sheetView showGridLines="0" topLeftCell="B1" zoomScale="85" zoomScaleNormal="85" workbookViewId="0">
      <pane ySplit="3" topLeftCell="A11" activePane="bottomLeft" state="frozen"/>
      <selection pane="bottomLeft" activeCell="G29" sqref="G29:G48"/>
    </sheetView>
  </sheetViews>
  <sheetFormatPr baseColWidth="10" defaultColWidth="11.5" defaultRowHeight="14.25" x14ac:dyDescent="0.2"/>
  <cols>
    <col min="1" max="1" width="1.5" style="2" customWidth="1"/>
    <col min="2" max="2" width="13.25" style="2" customWidth="1"/>
    <col min="3" max="3" width="23.75" style="2" bestFit="1" customWidth="1"/>
    <col min="4" max="4" width="13.875" style="2" bestFit="1" customWidth="1"/>
    <col min="5" max="5" width="9.875" style="2" bestFit="1" customWidth="1"/>
    <col min="6" max="6" width="10.25" style="2" bestFit="1" customWidth="1"/>
    <col min="7" max="7" width="8.875" style="2" bestFit="1" customWidth="1"/>
    <col min="8"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25" spans="2:7" ht="15" x14ac:dyDescent="0.25">
      <c r="B25" s="4" t="s">
        <v>624</v>
      </c>
    </row>
    <row r="26" spans="2:7" x14ac:dyDescent="0.2">
      <c r="B26" s="2" t="s">
        <v>625</v>
      </c>
    </row>
    <row r="28" spans="2:7" ht="15" x14ac:dyDescent="0.25">
      <c r="B28" s="38" t="s">
        <v>330</v>
      </c>
      <c r="C28" s="38" t="s">
        <v>556</v>
      </c>
      <c r="D28" s="38" t="s">
        <v>557</v>
      </c>
      <c r="E28" s="39" t="s">
        <v>558</v>
      </c>
      <c r="F28" s="38" t="s">
        <v>559</v>
      </c>
      <c r="G28" s="38" t="s">
        <v>560</v>
      </c>
    </row>
    <row r="29" spans="2:7" x14ac:dyDescent="0.2">
      <c r="B29" s="2">
        <v>1</v>
      </c>
      <c r="C29" s="2" t="s">
        <v>424</v>
      </c>
      <c r="D29" s="2" t="s">
        <v>561</v>
      </c>
      <c r="E29" s="2" t="s">
        <v>562</v>
      </c>
      <c r="F29" s="2">
        <v>407.21</v>
      </c>
      <c r="G29" s="2" t="s">
        <v>563</v>
      </c>
    </row>
    <row r="30" spans="2:7" x14ac:dyDescent="0.2">
      <c r="B30" s="2">
        <v>2</v>
      </c>
      <c r="C30" s="2" t="s">
        <v>307</v>
      </c>
      <c r="D30" s="2" t="s">
        <v>564</v>
      </c>
      <c r="E30" s="2" t="s">
        <v>565</v>
      </c>
      <c r="F30" s="2">
        <v>190.92</v>
      </c>
      <c r="G30" s="2" t="s">
        <v>563</v>
      </c>
    </row>
    <row r="31" spans="2:7" x14ac:dyDescent="0.2">
      <c r="B31" s="2">
        <v>3</v>
      </c>
      <c r="C31" s="2" t="s">
        <v>566</v>
      </c>
      <c r="D31" s="2" t="s">
        <v>567</v>
      </c>
      <c r="E31" s="2" t="s">
        <v>568</v>
      </c>
      <c r="F31" s="2">
        <v>8.34</v>
      </c>
      <c r="G31" s="2" t="s">
        <v>569</v>
      </c>
    </row>
    <row r="32" spans="2:7" x14ac:dyDescent="0.2">
      <c r="B32" s="2">
        <v>4</v>
      </c>
      <c r="C32" s="2" t="s">
        <v>570</v>
      </c>
      <c r="D32" s="2" t="s">
        <v>571</v>
      </c>
      <c r="E32" s="2" t="s">
        <v>572</v>
      </c>
      <c r="F32" s="2">
        <v>153.46</v>
      </c>
      <c r="G32" s="2" t="s">
        <v>563</v>
      </c>
    </row>
    <row r="33" spans="2:7" x14ac:dyDescent="0.2">
      <c r="B33" s="2">
        <v>5</v>
      </c>
      <c r="C33" s="2" t="s">
        <v>573</v>
      </c>
      <c r="D33" s="2" t="s">
        <v>574</v>
      </c>
      <c r="E33" s="2" t="s">
        <v>575</v>
      </c>
      <c r="F33" s="2">
        <v>160.05000000000001</v>
      </c>
      <c r="G33" s="2" t="s">
        <v>563</v>
      </c>
    </row>
    <row r="34" spans="2:7" x14ac:dyDescent="0.2">
      <c r="B34" s="2">
        <v>6</v>
      </c>
      <c r="C34" s="2" t="s">
        <v>576</v>
      </c>
      <c r="D34" s="2" t="s">
        <v>577</v>
      </c>
      <c r="E34" s="2" t="s">
        <v>578</v>
      </c>
      <c r="F34" s="2">
        <v>616.49</v>
      </c>
      <c r="G34" s="2" t="s">
        <v>563</v>
      </c>
    </row>
    <row r="35" spans="2:7" x14ac:dyDescent="0.2">
      <c r="B35" s="2">
        <v>7</v>
      </c>
      <c r="C35" s="2" t="s">
        <v>579</v>
      </c>
      <c r="D35" s="2" t="s">
        <v>580</v>
      </c>
      <c r="E35" s="2" t="s">
        <v>581</v>
      </c>
      <c r="F35" s="2">
        <v>399.96</v>
      </c>
      <c r="G35" s="2" t="s">
        <v>563</v>
      </c>
    </row>
    <row r="36" spans="2:7" x14ac:dyDescent="0.2">
      <c r="B36" s="2">
        <v>8</v>
      </c>
      <c r="C36" s="2" t="s">
        <v>582</v>
      </c>
      <c r="D36" s="2" t="s">
        <v>583</v>
      </c>
      <c r="E36" s="2" t="s">
        <v>584</v>
      </c>
      <c r="F36" s="2">
        <v>380.36</v>
      </c>
      <c r="G36" s="2" t="s">
        <v>563</v>
      </c>
    </row>
    <row r="37" spans="2:7" x14ac:dyDescent="0.2">
      <c r="B37" s="2">
        <v>9</v>
      </c>
      <c r="C37" s="2" t="s">
        <v>585</v>
      </c>
      <c r="D37" s="2" t="s">
        <v>586</v>
      </c>
      <c r="E37" s="2" t="s">
        <v>587</v>
      </c>
      <c r="F37" s="2">
        <v>644.09</v>
      </c>
      <c r="G37" s="2" t="s">
        <v>563</v>
      </c>
    </row>
    <row r="38" spans="2:7" x14ac:dyDescent="0.2">
      <c r="B38" s="2">
        <v>10</v>
      </c>
      <c r="C38" s="2" t="s">
        <v>588</v>
      </c>
      <c r="D38" s="2" t="s">
        <v>589</v>
      </c>
      <c r="E38" s="2" t="s">
        <v>590</v>
      </c>
      <c r="F38" s="2">
        <v>116.24</v>
      </c>
      <c r="G38" s="2" t="s">
        <v>591</v>
      </c>
    </row>
    <row r="39" spans="2:7" x14ac:dyDescent="0.2">
      <c r="B39" s="2">
        <v>11</v>
      </c>
      <c r="C39" s="2" t="s">
        <v>592</v>
      </c>
      <c r="D39" s="2" t="s">
        <v>593</v>
      </c>
      <c r="E39" s="2" t="s">
        <v>594</v>
      </c>
      <c r="F39" s="2">
        <v>188.42</v>
      </c>
      <c r="G39" s="2" t="s">
        <v>563</v>
      </c>
    </row>
    <row r="40" spans="2:7" x14ac:dyDescent="0.2">
      <c r="B40" s="2">
        <v>12</v>
      </c>
      <c r="C40" s="2" t="s">
        <v>595</v>
      </c>
      <c r="D40" s="2" t="s">
        <v>596</v>
      </c>
      <c r="E40" s="2" t="s">
        <v>597</v>
      </c>
      <c r="F40" s="2">
        <v>1215</v>
      </c>
      <c r="G40" s="2" t="s">
        <v>563</v>
      </c>
    </row>
    <row r="41" spans="2:7" x14ac:dyDescent="0.2">
      <c r="B41" s="2">
        <v>13</v>
      </c>
      <c r="C41" s="2" t="s">
        <v>598</v>
      </c>
      <c r="D41" s="2" t="s">
        <v>599</v>
      </c>
      <c r="E41" s="2" t="s">
        <v>600</v>
      </c>
      <c r="F41" s="2">
        <v>272.39</v>
      </c>
      <c r="G41" s="2" t="s">
        <v>563</v>
      </c>
    </row>
    <row r="42" spans="2:7" x14ac:dyDescent="0.2">
      <c r="B42" s="2">
        <v>14</v>
      </c>
      <c r="C42" s="2" t="s">
        <v>601</v>
      </c>
      <c r="D42" s="2" t="s">
        <v>602</v>
      </c>
      <c r="E42" s="2" t="s">
        <v>603</v>
      </c>
      <c r="F42" s="2">
        <v>171.76</v>
      </c>
      <c r="G42" s="2" t="s">
        <v>563</v>
      </c>
    </row>
    <row r="43" spans="2:7" x14ac:dyDescent="0.2">
      <c r="B43" s="2">
        <v>15</v>
      </c>
      <c r="C43" s="2" t="s">
        <v>604</v>
      </c>
      <c r="D43" s="2" t="s">
        <v>605</v>
      </c>
      <c r="E43" s="2" t="s">
        <v>606</v>
      </c>
      <c r="F43" s="2">
        <v>108.1</v>
      </c>
      <c r="G43" s="2" t="s">
        <v>607</v>
      </c>
    </row>
    <row r="44" spans="2:7" x14ac:dyDescent="0.2">
      <c r="B44" s="2">
        <v>16</v>
      </c>
      <c r="C44" s="2" t="s">
        <v>608</v>
      </c>
      <c r="D44" s="2" t="s">
        <v>609</v>
      </c>
      <c r="E44" s="2" t="s">
        <v>610</v>
      </c>
      <c r="F44" s="2">
        <v>503.55</v>
      </c>
      <c r="G44" s="2" t="s">
        <v>563</v>
      </c>
    </row>
    <row r="45" spans="2:7" x14ac:dyDescent="0.2">
      <c r="B45" s="2">
        <v>17</v>
      </c>
      <c r="C45" s="2" t="s">
        <v>611</v>
      </c>
      <c r="D45" s="2" t="s">
        <v>612</v>
      </c>
      <c r="E45" s="2" t="s">
        <v>613</v>
      </c>
      <c r="F45" s="2">
        <v>164.24</v>
      </c>
      <c r="G45" s="2" t="s">
        <v>563</v>
      </c>
    </row>
    <row r="46" spans="2:7" x14ac:dyDescent="0.2">
      <c r="B46" s="2">
        <v>18</v>
      </c>
      <c r="C46" s="2" t="s">
        <v>614</v>
      </c>
      <c r="D46" s="2" t="s">
        <v>615</v>
      </c>
      <c r="E46" s="2" t="s">
        <v>616</v>
      </c>
      <c r="F46" s="2">
        <v>838.43</v>
      </c>
      <c r="G46" s="2" t="s">
        <v>617</v>
      </c>
    </row>
    <row r="47" spans="2:7" x14ac:dyDescent="0.2">
      <c r="B47" s="2">
        <v>19</v>
      </c>
      <c r="C47" s="2" t="s">
        <v>618</v>
      </c>
      <c r="D47" s="2" t="s">
        <v>619</v>
      </c>
      <c r="E47" s="2" t="s">
        <v>620</v>
      </c>
      <c r="F47" s="2">
        <v>437.9</v>
      </c>
      <c r="G47" s="2" t="s">
        <v>563</v>
      </c>
    </row>
    <row r="48" spans="2:7" x14ac:dyDescent="0.2">
      <c r="B48" s="2">
        <v>20</v>
      </c>
      <c r="C48" s="2" t="s">
        <v>621</v>
      </c>
      <c r="D48" s="2" t="s">
        <v>622</v>
      </c>
      <c r="E48" s="2" t="s">
        <v>623</v>
      </c>
      <c r="F48" s="2">
        <v>102.56</v>
      </c>
      <c r="G48" s="2" t="s">
        <v>563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7A08-5644-4938-83A5-E0023FE28AF9}">
  <dimension ref="B1:E161"/>
  <sheetViews>
    <sheetView showGridLines="0" zoomScale="90" zoomScaleNormal="90" workbookViewId="0">
      <pane ySplit="3" topLeftCell="A136" activePane="bottomLeft" state="frozen"/>
      <selection pane="bottomLeft" activeCell="D151" sqref="D151"/>
    </sheetView>
  </sheetViews>
  <sheetFormatPr baseColWidth="10" defaultColWidth="11.5" defaultRowHeight="14.25" outlineLevelRow="1" x14ac:dyDescent="0.2"/>
  <cols>
    <col min="1" max="1" width="1.5" style="2" customWidth="1"/>
    <col min="2" max="2" width="23" style="2" customWidth="1"/>
    <col min="3" max="3" width="29.75" style="2" bestFit="1" customWidth="1"/>
    <col min="4" max="4" width="30" style="2" bestFit="1" customWidth="1"/>
    <col min="5" max="5" width="22.125" style="2" bestFit="1" customWidth="1"/>
    <col min="6" max="6" width="13"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5" outlineLevel="1" x14ac:dyDescent="0.2"/>
    <row r="18" spans="2:5" outlineLevel="1" x14ac:dyDescent="0.2"/>
    <row r="19" spans="2:5" outlineLevel="1" x14ac:dyDescent="0.2"/>
    <row r="20" spans="2:5" ht="15" outlineLevel="1" x14ac:dyDescent="0.25">
      <c r="B20" s="4" t="s">
        <v>641</v>
      </c>
    </row>
    <row r="21" spans="2:5" outlineLevel="1" x14ac:dyDescent="0.2">
      <c r="B21" s="2" t="s">
        <v>642</v>
      </c>
    </row>
    <row r="22" spans="2:5" outlineLevel="1" x14ac:dyDescent="0.2"/>
    <row r="23" spans="2:5" ht="15" outlineLevel="1" x14ac:dyDescent="0.25">
      <c r="B23" s="21" t="s">
        <v>626</v>
      </c>
      <c r="C23" s="21" t="s">
        <v>627</v>
      </c>
      <c r="D23" s="21" t="s">
        <v>640</v>
      </c>
      <c r="E23" s="21" t="s">
        <v>628</v>
      </c>
    </row>
    <row r="24" spans="2:5" outlineLevel="1" x14ac:dyDescent="0.2">
      <c r="B24" s="15" t="s">
        <v>652</v>
      </c>
      <c r="C24" s="15" t="s">
        <v>643</v>
      </c>
      <c r="D24" s="15">
        <v>8</v>
      </c>
      <c r="E24" s="17" t="str">
        <f>_xlfn.CONCAT(B24," ",C24)</f>
        <v>Lionel Messi</v>
      </c>
    </row>
    <row r="25" spans="2:5" outlineLevel="1" x14ac:dyDescent="0.2">
      <c r="B25" s="15" t="s">
        <v>653</v>
      </c>
      <c r="C25" s="15" t="s">
        <v>639</v>
      </c>
      <c r="D25" s="15">
        <v>5</v>
      </c>
      <c r="E25" s="17" t="str">
        <f t="shared" ref="E25:E33" si="0">_xlfn.CONCAT(B25," ",C25)</f>
        <v>Cristiano Ronaldo</v>
      </c>
    </row>
    <row r="26" spans="2:5" outlineLevel="1" x14ac:dyDescent="0.2">
      <c r="B26" s="15" t="s">
        <v>654</v>
      </c>
      <c r="C26" s="15" t="s">
        <v>644</v>
      </c>
      <c r="D26" s="15">
        <v>3</v>
      </c>
      <c r="E26" s="17" t="str">
        <f t="shared" si="0"/>
        <v>Michel Platini</v>
      </c>
    </row>
    <row r="27" spans="2:5" outlineLevel="1" x14ac:dyDescent="0.2">
      <c r="B27" s="15" t="s">
        <v>655</v>
      </c>
      <c r="C27" s="15" t="s">
        <v>645</v>
      </c>
      <c r="D27" s="15">
        <v>3</v>
      </c>
      <c r="E27" s="17" t="str">
        <f t="shared" si="0"/>
        <v>Johann Cruyff</v>
      </c>
    </row>
    <row r="28" spans="2:5" outlineLevel="1" x14ac:dyDescent="0.2">
      <c r="B28" s="15" t="s">
        <v>656</v>
      </c>
      <c r="C28" s="15" t="s">
        <v>646</v>
      </c>
      <c r="D28" s="15">
        <v>3</v>
      </c>
      <c r="E28" s="17" t="str">
        <f t="shared" si="0"/>
        <v>Marco van Basten</v>
      </c>
    </row>
    <row r="29" spans="2:5" outlineLevel="1" x14ac:dyDescent="0.2">
      <c r="B29" s="15" t="s">
        <v>657</v>
      </c>
      <c r="C29" s="15" t="s">
        <v>647</v>
      </c>
      <c r="D29" s="15">
        <v>2</v>
      </c>
      <c r="E29" s="17" t="str">
        <f t="shared" si="0"/>
        <v>Franz Beckenbauer</v>
      </c>
    </row>
    <row r="30" spans="2:5" outlineLevel="1" x14ac:dyDescent="0.2">
      <c r="B30" s="15" t="s">
        <v>639</v>
      </c>
      <c r="C30" s="15" t="s">
        <v>648</v>
      </c>
      <c r="D30" s="15">
        <v>2</v>
      </c>
      <c r="E30" s="17" t="str">
        <f t="shared" si="0"/>
        <v>Ronaldo Nazario</v>
      </c>
    </row>
    <row r="31" spans="2:5" outlineLevel="1" x14ac:dyDescent="0.2">
      <c r="B31" s="15" t="s">
        <v>658</v>
      </c>
      <c r="C31" s="15" t="s">
        <v>649</v>
      </c>
      <c r="D31" s="15">
        <v>2</v>
      </c>
      <c r="E31" s="17" t="str">
        <f t="shared" si="0"/>
        <v>Alfredo Di Stéfano</v>
      </c>
    </row>
    <row r="32" spans="2:5" outlineLevel="1" x14ac:dyDescent="0.2">
      <c r="B32" s="15" t="s">
        <v>659</v>
      </c>
      <c r="C32" s="15" t="s">
        <v>650</v>
      </c>
      <c r="D32" s="15">
        <v>2</v>
      </c>
      <c r="E32" s="17" t="str">
        <f t="shared" si="0"/>
        <v>Kevin Keegan</v>
      </c>
    </row>
    <row r="33" spans="2:5" outlineLevel="1" x14ac:dyDescent="0.2">
      <c r="B33" s="15" t="s">
        <v>660</v>
      </c>
      <c r="C33" s="15" t="s">
        <v>651</v>
      </c>
      <c r="D33" s="15">
        <v>2</v>
      </c>
      <c r="E33" s="17" t="str">
        <f t="shared" si="0"/>
        <v>Karl-Heinz Rummenigge</v>
      </c>
    </row>
    <row r="34" spans="2:5" outlineLevel="1" x14ac:dyDescent="0.2"/>
    <row r="35" spans="2:5" outlineLevel="1" x14ac:dyDescent="0.2"/>
    <row r="36" spans="2:5" outlineLevel="1" x14ac:dyDescent="0.2"/>
    <row r="44" spans="2:5" outlineLevel="1" x14ac:dyDescent="0.2"/>
    <row r="45" spans="2:5" outlineLevel="1" x14ac:dyDescent="0.2"/>
    <row r="46" spans="2:5" outlineLevel="1" x14ac:dyDescent="0.2"/>
    <row r="47" spans="2:5" outlineLevel="1" x14ac:dyDescent="0.2"/>
    <row r="48" spans="2:5" outlineLevel="1" x14ac:dyDescent="0.2"/>
    <row r="49" spans="2:2" outlineLevel="1" x14ac:dyDescent="0.2"/>
    <row r="50" spans="2:2" outlineLevel="1" x14ac:dyDescent="0.2"/>
    <row r="51" spans="2:2" outlineLevel="1" x14ac:dyDescent="0.2"/>
    <row r="52" spans="2:2" outlineLevel="1" x14ac:dyDescent="0.2"/>
    <row r="53" spans="2:2" outlineLevel="1" x14ac:dyDescent="0.2"/>
    <row r="54" spans="2:2" outlineLevel="1" x14ac:dyDescent="0.2"/>
    <row r="55" spans="2:2" outlineLevel="1" x14ac:dyDescent="0.2"/>
    <row r="56" spans="2:2" outlineLevel="1" x14ac:dyDescent="0.2"/>
    <row r="57" spans="2:2" outlineLevel="1" x14ac:dyDescent="0.2"/>
    <row r="58" spans="2:2" outlineLevel="1" x14ac:dyDescent="0.2"/>
    <row r="59" spans="2:2" outlineLevel="1" x14ac:dyDescent="0.2"/>
    <row r="60" spans="2:2" outlineLevel="1" x14ac:dyDescent="0.2"/>
    <row r="61" spans="2:2" outlineLevel="1" x14ac:dyDescent="0.2"/>
    <row r="62" spans="2:2" outlineLevel="1" x14ac:dyDescent="0.2"/>
    <row r="63" spans="2:2" ht="15" outlineLevel="1" x14ac:dyDescent="0.25">
      <c r="B63" s="4" t="s">
        <v>672</v>
      </c>
    </row>
    <row r="64" spans="2:2" outlineLevel="1" x14ac:dyDescent="0.2">
      <c r="B64" s="2" t="s">
        <v>673</v>
      </c>
    </row>
    <row r="65" spans="2:4" outlineLevel="1" x14ac:dyDescent="0.2"/>
    <row r="66" spans="2:4" ht="15" outlineLevel="1" x14ac:dyDescent="0.25">
      <c r="B66" s="21" t="s">
        <v>671</v>
      </c>
      <c r="C66" s="21" t="s">
        <v>674</v>
      </c>
      <c r="D66" s="21" t="s">
        <v>680</v>
      </c>
    </row>
    <row r="67" spans="2:4" outlineLevel="1" x14ac:dyDescent="0.2">
      <c r="B67" s="15" t="s">
        <v>661</v>
      </c>
      <c r="C67" s="15">
        <v>5.5</v>
      </c>
      <c r="D67" s="17" t="str">
        <f>UPPER(B67)</f>
        <v>ANTARCTIC (POLAR)</v>
      </c>
    </row>
    <row r="68" spans="2:4" outlineLevel="1" x14ac:dyDescent="0.2">
      <c r="B68" s="15" t="s">
        <v>662</v>
      </c>
      <c r="C68" s="15">
        <v>5.4</v>
      </c>
      <c r="D68" s="17" t="str">
        <f t="shared" ref="D68:D76" si="1">UPPER(B68)</f>
        <v>ARCTIC (POLAR)</v>
      </c>
    </row>
    <row r="69" spans="2:4" outlineLevel="1" x14ac:dyDescent="0.2">
      <c r="B69" s="15" t="s">
        <v>663</v>
      </c>
      <c r="C69" s="15">
        <v>3.5</v>
      </c>
      <c r="D69" s="17" t="str">
        <f t="shared" si="1"/>
        <v>SAHARA (SUBTRPICAL)</v>
      </c>
    </row>
    <row r="70" spans="2:4" outlineLevel="1" x14ac:dyDescent="0.2">
      <c r="B70" s="15" t="s">
        <v>664</v>
      </c>
      <c r="C70" s="15">
        <v>1</v>
      </c>
      <c r="D70" s="17" t="str">
        <f t="shared" si="1"/>
        <v>ARABIAN (SUBTROPICAL)</v>
      </c>
    </row>
    <row r="71" spans="2:4" outlineLevel="1" x14ac:dyDescent="0.2">
      <c r="B71" s="15" t="s">
        <v>665</v>
      </c>
      <c r="C71" s="15">
        <v>0.5</v>
      </c>
      <c r="D71" s="17" t="str">
        <f t="shared" si="1"/>
        <v>GOBI (COLD WINTER)</v>
      </c>
    </row>
    <row r="72" spans="2:4" outlineLevel="1" x14ac:dyDescent="0.2">
      <c r="B72" s="15" t="s">
        <v>666</v>
      </c>
      <c r="C72" s="15">
        <v>0.26</v>
      </c>
      <c r="D72" s="17" t="str">
        <f t="shared" si="1"/>
        <v>PATAGONIAN (COLD WINTER)</v>
      </c>
    </row>
    <row r="73" spans="2:4" outlineLevel="1" x14ac:dyDescent="0.2">
      <c r="B73" s="15" t="s">
        <v>667</v>
      </c>
      <c r="C73" s="15">
        <v>0.25</v>
      </c>
      <c r="D73" s="17" t="str">
        <f t="shared" si="1"/>
        <v>GREAT VICTORIA (SUBTROPICAL)</v>
      </c>
    </row>
    <row r="74" spans="2:4" outlineLevel="1" x14ac:dyDescent="0.2">
      <c r="B74" s="15" t="s">
        <v>668</v>
      </c>
      <c r="C74" s="15">
        <v>0.22</v>
      </c>
      <c r="D74" s="17" t="str">
        <f t="shared" si="1"/>
        <v>KALAHARI (SUBTROPICAL)</v>
      </c>
    </row>
    <row r="75" spans="2:4" outlineLevel="1" x14ac:dyDescent="0.2">
      <c r="B75" s="15" t="s">
        <v>669</v>
      </c>
      <c r="C75" s="15">
        <v>0.19</v>
      </c>
      <c r="D75" s="17" t="str">
        <f t="shared" si="1"/>
        <v>GREAT BASIN (COLD WINTER)</v>
      </c>
    </row>
    <row r="76" spans="2:4" outlineLevel="1" x14ac:dyDescent="0.2">
      <c r="B76" s="15" t="s">
        <v>670</v>
      </c>
      <c r="C76" s="15">
        <v>0.19</v>
      </c>
      <c r="D76" s="17" t="str">
        <f t="shared" si="1"/>
        <v>SYRIAN (SUBTROPICAL)</v>
      </c>
    </row>
    <row r="77" spans="2:4" outlineLevel="1" x14ac:dyDescent="0.2"/>
    <row r="80" spans="2:4" x14ac:dyDescent="0.2">
      <c r="C80" s="3"/>
    </row>
    <row r="81" spans="3:3" x14ac:dyDescent="0.2">
      <c r="C81" s="3"/>
    </row>
    <row r="82" spans="3:3" x14ac:dyDescent="0.2">
      <c r="C82" s="3"/>
    </row>
    <row r="83" spans="3:3" x14ac:dyDescent="0.2">
      <c r="C83" s="3"/>
    </row>
    <row r="84" spans="3:3" x14ac:dyDescent="0.2">
      <c r="C84" s="3"/>
    </row>
    <row r="85" spans="3:3" outlineLevel="1" x14ac:dyDescent="0.2">
      <c r="C85" s="3"/>
    </row>
    <row r="86" spans="3:3" outlineLevel="1" x14ac:dyDescent="0.2">
      <c r="C86" s="3"/>
    </row>
    <row r="87" spans="3:3" outlineLevel="1" x14ac:dyDescent="0.2">
      <c r="C87" s="3"/>
    </row>
    <row r="88" spans="3:3" outlineLevel="1" x14ac:dyDescent="0.2">
      <c r="C88" s="29"/>
    </row>
    <row r="89" spans="3:3" outlineLevel="1" x14ac:dyDescent="0.2">
      <c r="C89" s="3"/>
    </row>
    <row r="90" spans="3:3" outlineLevel="1" x14ac:dyDescent="0.2">
      <c r="C90" s="29"/>
    </row>
    <row r="91" spans="3:3" outlineLevel="1" x14ac:dyDescent="0.2"/>
    <row r="92" spans="3:3" outlineLevel="1" x14ac:dyDescent="0.2">
      <c r="C92" s="30"/>
    </row>
    <row r="93" spans="3:3" outlineLevel="1" x14ac:dyDescent="0.2">
      <c r="C93" s="30"/>
    </row>
    <row r="94" spans="3:3" outlineLevel="1" x14ac:dyDescent="0.2">
      <c r="C94" s="30"/>
    </row>
    <row r="95" spans="3:3" outlineLevel="1" x14ac:dyDescent="0.2">
      <c r="C95" s="30"/>
    </row>
    <row r="96" spans="3:3" outlineLevel="1" x14ac:dyDescent="0.2">
      <c r="C96" s="30"/>
    </row>
    <row r="97" spans="2:5" outlineLevel="1" x14ac:dyDescent="0.2">
      <c r="C97" s="29"/>
      <c r="D97" s="2" t="s">
        <v>444</v>
      </c>
    </row>
    <row r="98" spans="2:5" outlineLevel="1" x14ac:dyDescent="0.2">
      <c r="C98" s="30"/>
    </row>
    <row r="99" spans="2:5" outlineLevel="1" x14ac:dyDescent="0.2"/>
    <row r="100" spans="2:5" outlineLevel="1" x14ac:dyDescent="0.2"/>
    <row r="101" spans="2:5" outlineLevel="1" x14ac:dyDescent="0.2"/>
    <row r="102" spans="2:5" outlineLevel="1" x14ac:dyDescent="0.2"/>
    <row r="103" spans="2:5" outlineLevel="1" x14ac:dyDescent="0.2"/>
    <row r="104" spans="2:5" outlineLevel="1" x14ac:dyDescent="0.2"/>
    <row r="105" spans="2:5" ht="15" outlineLevel="1" x14ac:dyDescent="0.25">
      <c r="B105" s="4" t="s">
        <v>637</v>
      </c>
    </row>
    <row r="106" spans="2:5" outlineLevel="1" x14ac:dyDescent="0.2">
      <c r="B106" s="2" t="s">
        <v>638</v>
      </c>
    </row>
    <row r="107" spans="2:5" outlineLevel="1" x14ac:dyDescent="0.2"/>
    <row r="108" spans="2:5" ht="15" outlineLevel="1" x14ac:dyDescent="0.25">
      <c r="B108" s="21" t="s">
        <v>330</v>
      </c>
      <c r="C108" s="21" t="s">
        <v>331</v>
      </c>
      <c r="D108" s="21" t="s">
        <v>560</v>
      </c>
      <c r="E108" s="21" t="s">
        <v>679</v>
      </c>
    </row>
    <row r="109" spans="2:5" outlineLevel="1" x14ac:dyDescent="0.2">
      <c r="B109" s="15">
        <v>1</v>
      </c>
      <c r="C109" s="15" t="s">
        <v>629</v>
      </c>
      <c r="D109" s="15" t="s">
        <v>677</v>
      </c>
      <c r="E109" s="17" t="str">
        <f>LOWER(D109)</f>
        <v>us</v>
      </c>
    </row>
    <row r="110" spans="2:5" outlineLevel="1" x14ac:dyDescent="0.2">
      <c r="B110" s="15">
        <v>2</v>
      </c>
      <c r="C110" s="15" t="s">
        <v>454</v>
      </c>
      <c r="D110" s="15" t="s">
        <v>635</v>
      </c>
      <c r="E110" s="17" t="str">
        <f t="shared" ref="E110:E118" si="2">LOWER(D110)</f>
        <v>uk</v>
      </c>
    </row>
    <row r="111" spans="2:5" outlineLevel="1" x14ac:dyDescent="0.2">
      <c r="B111" s="15">
        <v>3</v>
      </c>
      <c r="C111" s="15" t="s">
        <v>456</v>
      </c>
      <c r="D111" s="15" t="s">
        <v>675</v>
      </c>
      <c r="E111" s="17" t="str">
        <f t="shared" si="2"/>
        <v>us</v>
      </c>
    </row>
    <row r="112" spans="2:5" outlineLevel="1" x14ac:dyDescent="0.2">
      <c r="B112" s="15">
        <v>4</v>
      </c>
      <c r="C112" s="15" t="s">
        <v>453</v>
      </c>
      <c r="D112" s="15" t="s">
        <v>678</v>
      </c>
      <c r="E112" s="17" t="str">
        <f t="shared" si="2"/>
        <v>uk</v>
      </c>
    </row>
    <row r="113" spans="2:5" outlineLevel="1" x14ac:dyDescent="0.2">
      <c r="B113" s="15">
        <v>5</v>
      </c>
      <c r="C113" s="15" t="s">
        <v>631</v>
      </c>
      <c r="D113" s="15" t="s">
        <v>675</v>
      </c>
      <c r="E113" s="17" t="str">
        <f t="shared" si="2"/>
        <v>us</v>
      </c>
    </row>
    <row r="114" spans="2:5" outlineLevel="1" x14ac:dyDescent="0.2">
      <c r="B114" s="15">
        <v>6</v>
      </c>
      <c r="C114" s="15" t="s">
        <v>455</v>
      </c>
      <c r="D114" s="15" t="s">
        <v>634</v>
      </c>
      <c r="E114" s="17" t="str">
        <f t="shared" si="2"/>
        <v>us</v>
      </c>
    </row>
    <row r="115" spans="2:5" outlineLevel="1" x14ac:dyDescent="0.2">
      <c r="B115" s="15">
        <v>7</v>
      </c>
      <c r="C115" s="15" t="s">
        <v>632</v>
      </c>
      <c r="D115" s="15" t="s">
        <v>677</v>
      </c>
      <c r="E115" s="17" t="str">
        <f t="shared" si="2"/>
        <v>us</v>
      </c>
    </row>
    <row r="116" spans="2:5" outlineLevel="1" x14ac:dyDescent="0.2">
      <c r="B116" s="15">
        <v>8</v>
      </c>
      <c r="C116" s="15" t="s">
        <v>457</v>
      </c>
      <c r="D116" s="15" t="s">
        <v>676</v>
      </c>
      <c r="E116" s="17" t="str">
        <f t="shared" si="2"/>
        <v>uk</v>
      </c>
    </row>
    <row r="117" spans="2:5" outlineLevel="1" x14ac:dyDescent="0.2">
      <c r="B117" s="15">
        <v>9</v>
      </c>
      <c r="C117" s="15" t="s">
        <v>458</v>
      </c>
      <c r="D117" s="15" t="s">
        <v>636</v>
      </c>
      <c r="E117" s="17" t="str">
        <f t="shared" si="2"/>
        <v>sw</v>
      </c>
    </row>
    <row r="118" spans="2:5" outlineLevel="1" x14ac:dyDescent="0.2">
      <c r="B118" s="15">
        <v>10</v>
      </c>
      <c r="C118" s="15" t="s">
        <v>633</v>
      </c>
      <c r="D118" s="15" t="s">
        <v>675</v>
      </c>
      <c r="E118" s="17" t="str">
        <f t="shared" si="2"/>
        <v>us</v>
      </c>
    </row>
    <row r="119" spans="2:5" outlineLevel="1" x14ac:dyDescent="0.2"/>
    <row r="120" spans="2:5" ht="15" outlineLevel="1" x14ac:dyDescent="0.25">
      <c r="B120" s="4"/>
    </row>
    <row r="147" spans="2:4" ht="15" x14ac:dyDescent="0.25">
      <c r="B147" s="4" t="s">
        <v>683</v>
      </c>
    </row>
    <row r="148" spans="2:4" x14ac:dyDescent="0.2">
      <c r="B148" s="2" t="s">
        <v>684</v>
      </c>
    </row>
    <row r="150" spans="2:4" ht="15" x14ac:dyDescent="0.25">
      <c r="B150" s="21" t="s">
        <v>681</v>
      </c>
      <c r="C150" s="21" t="s">
        <v>682</v>
      </c>
      <c r="D150" s="21" t="s">
        <v>695</v>
      </c>
    </row>
    <row r="151" spans="2:4" x14ac:dyDescent="0.2">
      <c r="B151" s="15" t="s">
        <v>685</v>
      </c>
      <c r="C151" s="15">
        <v>6</v>
      </c>
      <c r="D151" s="17" t="str">
        <f>PROPER(B151)</f>
        <v xml:space="preserve">Harry Kane </v>
      </c>
    </row>
    <row r="152" spans="2:4" x14ac:dyDescent="0.2">
      <c r="B152" s="15" t="s">
        <v>686</v>
      </c>
      <c r="C152" s="15">
        <v>4</v>
      </c>
      <c r="D152" s="17" t="str">
        <f t="shared" ref="D152:D160" si="3">PROPER(B152)</f>
        <v xml:space="preserve">Antoine Griezmann </v>
      </c>
    </row>
    <row r="153" spans="2:4" x14ac:dyDescent="0.2">
      <c r="B153" s="15" t="s">
        <v>687</v>
      </c>
      <c r="C153" s="15">
        <v>4</v>
      </c>
      <c r="D153" s="17" t="str">
        <f t="shared" si="3"/>
        <v xml:space="preserve">Romelu Lukaku </v>
      </c>
    </row>
    <row r="154" spans="2:4" x14ac:dyDescent="0.2">
      <c r="B154" s="15" t="s">
        <v>688</v>
      </c>
      <c r="C154" s="15">
        <v>4</v>
      </c>
      <c r="D154" s="17" t="str">
        <f t="shared" si="3"/>
        <v xml:space="preserve">Denis Cheryshev </v>
      </c>
    </row>
    <row r="155" spans="2:4" x14ac:dyDescent="0.2">
      <c r="B155" s="15" t="s">
        <v>689</v>
      </c>
      <c r="C155" s="15">
        <v>4</v>
      </c>
      <c r="D155" s="17" t="str">
        <f t="shared" si="3"/>
        <v xml:space="preserve">Cristiano Ronaldo </v>
      </c>
    </row>
    <row r="156" spans="2:4" x14ac:dyDescent="0.2">
      <c r="B156" s="15" t="s">
        <v>690</v>
      </c>
      <c r="C156" s="15">
        <v>4</v>
      </c>
      <c r="D156" s="17" t="str">
        <f t="shared" si="3"/>
        <v xml:space="preserve">Kylian Mbappe </v>
      </c>
    </row>
    <row r="157" spans="2:4" x14ac:dyDescent="0.2">
      <c r="B157" s="15" t="s">
        <v>691</v>
      </c>
      <c r="C157" s="15">
        <v>3</v>
      </c>
      <c r="D157" s="17" t="str">
        <f t="shared" si="3"/>
        <v xml:space="preserve">Artem Dzyuba </v>
      </c>
    </row>
    <row r="158" spans="2:4" x14ac:dyDescent="0.2">
      <c r="B158" s="15" t="s">
        <v>692</v>
      </c>
      <c r="C158" s="15">
        <v>3</v>
      </c>
      <c r="D158" s="17" t="str">
        <f t="shared" si="3"/>
        <v xml:space="preserve">Eden Hazard </v>
      </c>
    </row>
    <row r="159" spans="2:4" x14ac:dyDescent="0.2">
      <c r="B159" s="15" t="s">
        <v>693</v>
      </c>
      <c r="C159" s="15">
        <v>3</v>
      </c>
      <c r="D159" s="17" t="str">
        <f t="shared" si="3"/>
        <v xml:space="preserve">Mario Mandzukic </v>
      </c>
    </row>
    <row r="160" spans="2:4" x14ac:dyDescent="0.2">
      <c r="B160" s="15" t="s">
        <v>694</v>
      </c>
      <c r="C160" s="15">
        <v>3</v>
      </c>
      <c r="D160" s="17" t="str">
        <f t="shared" si="3"/>
        <v xml:space="preserve">Ivan Perisic </v>
      </c>
    </row>
    <row r="161" spans="2:2" ht="15" x14ac:dyDescent="0.25">
      <c r="B161" s="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3EC1-253B-4AEC-BBF6-DB4D3A1B7D79}">
  <dimension ref="B1:D129"/>
  <sheetViews>
    <sheetView showGridLines="0" topLeftCell="B1" zoomScale="90" zoomScaleNormal="90" workbookViewId="0">
      <pane ySplit="3" topLeftCell="A32" activePane="bottomLeft" state="frozen"/>
      <selection pane="bottomLeft" activeCell="B38" sqref="B38"/>
    </sheetView>
  </sheetViews>
  <sheetFormatPr baseColWidth="10" defaultColWidth="11.5" defaultRowHeight="14.25" outlineLevelRow="1" x14ac:dyDescent="0.2"/>
  <cols>
    <col min="1" max="1" width="1.5" style="2" customWidth="1"/>
    <col min="2" max="2" width="39.5" style="2" customWidth="1"/>
    <col min="3" max="3" width="38.25" style="2" bestFit="1" customWidth="1"/>
    <col min="4" max="4" width="51" style="2" bestFit="1" customWidth="1"/>
    <col min="5" max="5" width="22.125" style="2" bestFit="1" customWidth="1"/>
    <col min="6" max="6" width="13"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4" outlineLevel="1" x14ac:dyDescent="0.2"/>
    <row r="18" spans="2:4" outlineLevel="1" x14ac:dyDescent="0.2"/>
    <row r="19" spans="2:4" outlineLevel="1" x14ac:dyDescent="0.2"/>
    <row r="20" spans="2:4" ht="15" outlineLevel="1" x14ac:dyDescent="0.25">
      <c r="B20" s="4" t="s">
        <v>697</v>
      </c>
    </row>
    <row r="21" spans="2:4" outlineLevel="1" x14ac:dyDescent="0.2">
      <c r="B21" s="2" t="s">
        <v>698</v>
      </c>
    </row>
    <row r="22" spans="2:4" outlineLevel="1" x14ac:dyDescent="0.2"/>
    <row r="23" spans="2:4" ht="15" outlineLevel="1" x14ac:dyDescent="0.25">
      <c r="B23" s="21" t="s">
        <v>696</v>
      </c>
      <c r="C23" s="21" t="s">
        <v>699</v>
      </c>
      <c r="D23" s="21" t="s">
        <v>710</v>
      </c>
    </row>
    <row r="24" spans="2:4" outlineLevel="1" x14ac:dyDescent="0.2">
      <c r="B24" s="15" t="s">
        <v>700</v>
      </c>
      <c r="C24" s="15">
        <v>100.3</v>
      </c>
      <c r="D24" s="17" t="str">
        <f>TRIM(B24)</f>
        <v>Pfizer Inc., U.S.</v>
      </c>
    </row>
    <row r="25" spans="2:4" outlineLevel="1" x14ac:dyDescent="0.2">
      <c r="B25" s="15" t="s">
        <v>701</v>
      </c>
      <c r="C25" s="15">
        <v>94.9</v>
      </c>
      <c r="D25" s="17" t="str">
        <f t="shared" ref="D25:D33" si="0">TRIM(B25)</f>
        <v>Johnson &amp; Johnson, U.S.</v>
      </c>
    </row>
    <row r="26" spans="2:4" outlineLevel="1" x14ac:dyDescent="0.2">
      <c r="B26" s="15" t="s">
        <v>702</v>
      </c>
      <c r="C26" s="15">
        <v>70.8</v>
      </c>
      <c r="D26" s="17" t="str">
        <f t="shared" si="0"/>
        <v>Roche Holding AG, Switzerland</v>
      </c>
    </row>
    <row r="27" spans="2:4" outlineLevel="1" x14ac:dyDescent="0.2">
      <c r="B27" s="15" t="s">
        <v>703</v>
      </c>
      <c r="C27" s="15">
        <v>59.3</v>
      </c>
      <c r="D27" s="17" t="str">
        <f t="shared" si="0"/>
        <v>Merck &amp; Co. Inc., U.S.</v>
      </c>
    </row>
    <row r="28" spans="2:4" outlineLevel="1" x14ac:dyDescent="0.2">
      <c r="B28" s="15" t="s">
        <v>704</v>
      </c>
      <c r="C28" s="15">
        <v>58.1</v>
      </c>
      <c r="D28" s="17" t="str">
        <f t="shared" si="0"/>
        <v>AbbVie Inc., U.S.</v>
      </c>
    </row>
    <row r="29" spans="2:4" outlineLevel="1" x14ac:dyDescent="0.2">
      <c r="B29" s="15" t="s">
        <v>705</v>
      </c>
      <c r="C29" s="15">
        <v>55.8</v>
      </c>
      <c r="D29" s="17" t="str">
        <f t="shared" si="0"/>
        <v>Bayer AG, Germany</v>
      </c>
    </row>
    <row r="30" spans="2:4" outlineLevel="1" x14ac:dyDescent="0.2">
      <c r="B30" s="15" t="s">
        <v>706</v>
      </c>
      <c r="C30" s="15">
        <v>51.7</v>
      </c>
      <c r="D30" s="17" t="str">
        <f t="shared" si="0"/>
        <v>Novartis AG, U.S.</v>
      </c>
    </row>
    <row r="31" spans="2:4" outlineLevel="1" x14ac:dyDescent="0.2">
      <c r="B31" s="15" t="s">
        <v>707</v>
      </c>
      <c r="C31" s="15">
        <v>49.9</v>
      </c>
      <c r="D31" s="17" t="str">
        <f t="shared" si="0"/>
        <v>Sanofi SA, France</v>
      </c>
    </row>
    <row r="32" spans="2:4" outlineLevel="1" x14ac:dyDescent="0.2">
      <c r="B32" s="15" t="s">
        <v>708</v>
      </c>
      <c r="C32" s="15">
        <v>46.2</v>
      </c>
      <c r="D32" s="17" t="str">
        <f t="shared" si="0"/>
        <v>Bristol-Myers Squibb Co., U.S.</v>
      </c>
    </row>
    <row r="33" spans="2:4" outlineLevel="1" x14ac:dyDescent="0.2">
      <c r="B33" s="15" t="s">
        <v>709</v>
      </c>
      <c r="C33" s="15">
        <v>44.4</v>
      </c>
      <c r="D33" s="17" t="str">
        <f t="shared" si="0"/>
        <v>AstraZenecaPLC, U.K./Sweden</v>
      </c>
    </row>
    <row r="34" spans="2:4" outlineLevel="1" x14ac:dyDescent="0.2"/>
    <row r="35" spans="2:4" outlineLevel="1" x14ac:dyDescent="0.2"/>
    <row r="62" spans="2:2" x14ac:dyDescent="0.2">
      <c r="B62"/>
    </row>
    <row r="63" spans="2:2" x14ac:dyDescent="0.2">
      <c r="B63"/>
    </row>
    <row r="76" spans="2:2" ht="15" x14ac:dyDescent="0.25">
      <c r="B76" s="4"/>
    </row>
    <row r="89" spans="3:3" x14ac:dyDescent="0.2">
      <c r="C89" s="3"/>
    </row>
    <row r="90" spans="3:3" x14ac:dyDescent="0.2">
      <c r="C90" s="3"/>
    </row>
    <row r="91" spans="3:3" x14ac:dyDescent="0.2">
      <c r="C91" s="3"/>
    </row>
    <row r="92" spans="3:3" x14ac:dyDescent="0.2">
      <c r="C92" s="3"/>
    </row>
    <row r="93" spans="3:3" x14ac:dyDescent="0.2">
      <c r="C93" s="3"/>
    </row>
    <row r="94" spans="3:3" x14ac:dyDescent="0.2">
      <c r="C94" s="3"/>
    </row>
    <row r="95" spans="3:3" x14ac:dyDescent="0.2">
      <c r="C95" s="3"/>
    </row>
    <row r="96" spans="3:3" x14ac:dyDescent="0.2">
      <c r="C96" s="3"/>
    </row>
    <row r="97" spans="3:3" x14ac:dyDescent="0.2">
      <c r="C97" s="29"/>
    </row>
    <row r="98" spans="3:3" x14ac:dyDescent="0.2">
      <c r="C98" s="3"/>
    </row>
    <row r="99" spans="3:3" x14ac:dyDescent="0.2">
      <c r="C99" s="29"/>
    </row>
    <row r="101" spans="3:3" x14ac:dyDescent="0.2">
      <c r="C101" s="30"/>
    </row>
    <row r="102" spans="3:3" x14ac:dyDescent="0.2">
      <c r="C102" s="30"/>
    </row>
    <row r="103" spans="3:3" x14ac:dyDescent="0.2">
      <c r="C103" s="30"/>
    </row>
    <row r="104" spans="3:3" x14ac:dyDescent="0.2">
      <c r="C104" s="30"/>
    </row>
    <row r="105" spans="3:3" x14ac:dyDescent="0.2">
      <c r="C105" s="30"/>
    </row>
    <row r="106" spans="3:3" x14ac:dyDescent="0.2">
      <c r="C106" s="29"/>
    </row>
    <row r="107" spans="3:3" x14ac:dyDescent="0.2">
      <c r="C107" s="30"/>
    </row>
    <row r="114" spans="2:2" ht="15" x14ac:dyDescent="0.25">
      <c r="B114" s="4"/>
    </row>
    <row r="129" spans="2:2" ht="15" x14ac:dyDescent="0.25">
      <c r="B129" s="4"/>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50C2-C7E3-4A02-B2BB-80B6CBC9554E}">
  <dimension ref="B1:F182"/>
  <sheetViews>
    <sheetView showGridLines="0" topLeftCell="B1" zoomScale="90" zoomScaleNormal="90" workbookViewId="0">
      <pane ySplit="3" topLeftCell="A22" activePane="bottomLeft" state="frozen"/>
      <selection pane="bottomLeft" activeCell="G56" sqref="G56"/>
    </sheetView>
  </sheetViews>
  <sheetFormatPr baseColWidth="10" defaultColWidth="11.5" defaultRowHeight="14.25" outlineLevelRow="1" x14ac:dyDescent="0.2"/>
  <cols>
    <col min="1" max="1" width="1.5" style="2" customWidth="1"/>
    <col min="2" max="2" width="39.5" style="2" customWidth="1"/>
    <col min="3" max="3" width="10.5" style="2" bestFit="1" customWidth="1"/>
    <col min="4" max="4" width="25" style="2" bestFit="1" customWidth="1"/>
    <col min="5" max="5" width="20.75" style="2" bestFit="1" customWidth="1"/>
    <col min="6" max="6" width="13"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6" outlineLevel="1" x14ac:dyDescent="0.2"/>
    <row r="18" spans="2:6" outlineLevel="1" x14ac:dyDescent="0.2"/>
    <row r="19" spans="2:6" outlineLevel="1" x14ac:dyDescent="0.2"/>
    <row r="20" spans="2:6" ht="15" outlineLevel="1" x14ac:dyDescent="0.25">
      <c r="B20" s="4" t="s">
        <v>723</v>
      </c>
    </row>
    <row r="21" spans="2:6" outlineLevel="1" x14ac:dyDescent="0.2">
      <c r="B21" s="2" t="s">
        <v>724</v>
      </c>
    </row>
    <row r="22" spans="2:6" outlineLevel="1" x14ac:dyDescent="0.2"/>
    <row r="23" spans="2:6" ht="15" outlineLevel="1" x14ac:dyDescent="0.25">
      <c r="B23" s="21" t="s">
        <v>712</v>
      </c>
      <c r="C23" s="21" t="s">
        <v>713</v>
      </c>
      <c r="D23" s="21" t="s">
        <v>714</v>
      </c>
      <c r="E23" s="21" t="s">
        <v>715</v>
      </c>
      <c r="F23" s="21" t="s">
        <v>722</v>
      </c>
    </row>
    <row r="24" spans="2:6" outlineLevel="1" x14ac:dyDescent="0.2">
      <c r="B24" s="15" t="s">
        <v>716</v>
      </c>
      <c r="C24" s="47">
        <v>41587</v>
      </c>
      <c r="D24" s="47">
        <v>41590</v>
      </c>
      <c r="E24" s="15" t="s">
        <v>717</v>
      </c>
      <c r="F24" s="17" t="str">
        <f>RIGHT(B24,6)</f>
        <v>152156</v>
      </c>
    </row>
    <row r="25" spans="2:6" outlineLevel="1" x14ac:dyDescent="0.2">
      <c r="B25" s="15" t="s">
        <v>716</v>
      </c>
      <c r="C25" s="47">
        <v>41587</v>
      </c>
      <c r="D25" s="47">
        <v>41590</v>
      </c>
      <c r="E25" s="15" t="s">
        <v>717</v>
      </c>
      <c r="F25" s="17" t="str">
        <f t="shared" ref="F25:F33" si="0">RIGHT(B25,6)</f>
        <v>152156</v>
      </c>
    </row>
    <row r="26" spans="2:6" outlineLevel="1" x14ac:dyDescent="0.2">
      <c r="B26" s="15" t="s">
        <v>718</v>
      </c>
      <c r="C26" s="47">
        <v>41438</v>
      </c>
      <c r="D26" s="47">
        <v>41442</v>
      </c>
      <c r="E26" s="15" t="s">
        <v>717</v>
      </c>
      <c r="F26" s="17" t="str">
        <f t="shared" si="0"/>
        <v>138688</v>
      </c>
    </row>
    <row r="27" spans="2:6" outlineLevel="1" x14ac:dyDescent="0.2">
      <c r="B27" s="15" t="s">
        <v>719</v>
      </c>
      <c r="C27" s="47">
        <v>41193</v>
      </c>
      <c r="D27" s="47">
        <v>41200</v>
      </c>
      <c r="E27" s="15" t="s">
        <v>720</v>
      </c>
      <c r="F27" s="17" t="str">
        <f t="shared" si="0"/>
        <v>108966</v>
      </c>
    </row>
    <row r="28" spans="2:6" outlineLevel="1" x14ac:dyDescent="0.2">
      <c r="B28" s="15" t="s">
        <v>719</v>
      </c>
      <c r="C28" s="47">
        <v>41193</v>
      </c>
      <c r="D28" s="47">
        <v>41200</v>
      </c>
      <c r="E28" s="15" t="s">
        <v>720</v>
      </c>
      <c r="F28" s="17" t="str">
        <f t="shared" si="0"/>
        <v>108966</v>
      </c>
    </row>
    <row r="29" spans="2:6" outlineLevel="1" x14ac:dyDescent="0.2">
      <c r="B29" s="15" t="s">
        <v>721</v>
      </c>
      <c r="C29" s="47">
        <v>40703</v>
      </c>
      <c r="D29" s="47">
        <v>40708</v>
      </c>
      <c r="E29" s="15" t="s">
        <v>720</v>
      </c>
      <c r="F29" s="17" t="str">
        <f t="shared" si="0"/>
        <v>115812</v>
      </c>
    </row>
    <row r="30" spans="2:6" outlineLevel="1" x14ac:dyDescent="0.2">
      <c r="B30" s="15" t="s">
        <v>721</v>
      </c>
      <c r="C30" s="47">
        <v>40703</v>
      </c>
      <c r="D30" s="47">
        <v>40708</v>
      </c>
      <c r="E30" s="15" t="s">
        <v>720</v>
      </c>
      <c r="F30" s="17" t="str">
        <f t="shared" si="0"/>
        <v>115812</v>
      </c>
    </row>
    <row r="31" spans="2:6" outlineLevel="1" x14ac:dyDescent="0.2">
      <c r="B31" s="15" t="s">
        <v>721</v>
      </c>
      <c r="C31" s="47">
        <v>40703</v>
      </c>
      <c r="D31" s="47">
        <v>40708</v>
      </c>
      <c r="E31" s="15" t="s">
        <v>720</v>
      </c>
      <c r="F31" s="17" t="str">
        <f t="shared" si="0"/>
        <v>115812</v>
      </c>
    </row>
    <row r="32" spans="2:6" outlineLevel="1" x14ac:dyDescent="0.2">
      <c r="B32" s="15" t="s">
        <v>721</v>
      </c>
      <c r="C32" s="47">
        <v>40703</v>
      </c>
      <c r="D32" s="47">
        <v>40708</v>
      </c>
      <c r="E32" s="15" t="s">
        <v>720</v>
      </c>
      <c r="F32" s="17" t="str">
        <f t="shared" si="0"/>
        <v>115812</v>
      </c>
    </row>
    <row r="33" spans="2:6" outlineLevel="1" x14ac:dyDescent="0.2">
      <c r="B33" s="15" t="s">
        <v>721</v>
      </c>
      <c r="C33" s="47">
        <v>40703</v>
      </c>
      <c r="D33" s="47">
        <v>40708</v>
      </c>
      <c r="E33" s="15" t="s">
        <v>720</v>
      </c>
      <c r="F33" s="17" t="str">
        <f t="shared" si="0"/>
        <v>115812</v>
      </c>
    </row>
    <row r="34" spans="2:6" outlineLevel="1" x14ac:dyDescent="0.2">
      <c r="C34" s="46"/>
      <c r="D34" s="46"/>
    </row>
    <row r="35" spans="2:6" outlineLevel="1" x14ac:dyDescent="0.2"/>
    <row r="36" spans="2:6" outlineLevel="1" x14ac:dyDescent="0.2"/>
    <row r="37" spans="2:6" ht="15" outlineLevel="1" x14ac:dyDescent="0.25">
      <c r="B37" s="4" t="s">
        <v>726</v>
      </c>
    </row>
    <row r="38" spans="2:6" outlineLevel="1" x14ac:dyDescent="0.2">
      <c r="B38" s="2" t="s">
        <v>727</v>
      </c>
    </row>
    <row r="39" spans="2:6" outlineLevel="1" x14ac:dyDescent="0.2"/>
    <row r="40" spans="2:6" outlineLevel="1" x14ac:dyDescent="0.2"/>
    <row r="41" spans="2:6" outlineLevel="1" x14ac:dyDescent="0.2"/>
    <row r="42" spans="2:6" outlineLevel="1" x14ac:dyDescent="0.2"/>
    <row r="43" spans="2:6" ht="15" outlineLevel="1" x14ac:dyDescent="0.25">
      <c r="B43" s="21" t="s">
        <v>712</v>
      </c>
      <c r="C43" s="21" t="s">
        <v>742</v>
      </c>
      <c r="D43" s="21" t="s">
        <v>744</v>
      </c>
      <c r="E43" s="21" t="s">
        <v>748</v>
      </c>
      <c r="F43" s="21" t="s">
        <v>763</v>
      </c>
    </row>
    <row r="44" spans="2:6" outlineLevel="1" x14ac:dyDescent="0.2">
      <c r="B44" s="15" t="s">
        <v>728</v>
      </c>
      <c r="C44" s="15" t="s">
        <v>743</v>
      </c>
      <c r="D44" s="15" t="s">
        <v>745</v>
      </c>
      <c r="E44" s="15" t="s">
        <v>749</v>
      </c>
      <c r="F44" s="17" t="str">
        <f>RIGHT(E44,1)</f>
        <v>S</v>
      </c>
    </row>
    <row r="45" spans="2:6" outlineLevel="1" x14ac:dyDescent="0.2">
      <c r="B45" s="15" t="s">
        <v>729</v>
      </c>
      <c r="C45" s="15" t="s">
        <v>743</v>
      </c>
      <c r="D45" s="15" t="s">
        <v>746</v>
      </c>
      <c r="E45" s="15" t="s">
        <v>750</v>
      </c>
      <c r="F45" s="17" t="str">
        <f t="shared" ref="F45:F57" si="1">RIGHT(E45,1)</f>
        <v>L</v>
      </c>
    </row>
    <row r="46" spans="2:6" outlineLevel="1" x14ac:dyDescent="0.2">
      <c r="B46" s="15" t="s">
        <v>730</v>
      </c>
      <c r="C46" s="15" t="s">
        <v>743</v>
      </c>
      <c r="D46" s="15" t="s">
        <v>747</v>
      </c>
      <c r="E46" s="15" t="s">
        <v>751</v>
      </c>
      <c r="F46" s="17" t="str">
        <f t="shared" si="1"/>
        <v>L</v>
      </c>
    </row>
    <row r="47" spans="2:6" outlineLevel="1" x14ac:dyDescent="0.2">
      <c r="B47" s="15" t="s">
        <v>731</v>
      </c>
      <c r="C47" s="15" t="s">
        <v>743</v>
      </c>
      <c r="D47" s="15" t="s">
        <v>745</v>
      </c>
      <c r="E47" s="15" t="s">
        <v>752</v>
      </c>
      <c r="F47" s="17" t="str">
        <f t="shared" si="1"/>
        <v>L</v>
      </c>
    </row>
    <row r="48" spans="2:6" outlineLevel="1" x14ac:dyDescent="0.2">
      <c r="B48" s="15" t="s">
        <v>732</v>
      </c>
      <c r="C48" s="15" t="s">
        <v>743</v>
      </c>
      <c r="D48" s="15" t="s">
        <v>747</v>
      </c>
      <c r="E48" s="15" t="s">
        <v>753</v>
      </c>
      <c r="F48" s="17" t="str">
        <f t="shared" si="1"/>
        <v>L</v>
      </c>
    </row>
    <row r="49" spans="2:6" outlineLevel="1" x14ac:dyDescent="0.2">
      <c r="B49" s="15" t="s">
        <v>733</v>
      </c>
      <c r="C49" s="15" t="s">
        <v>743</v>
      </c>
      <c r="D49" s="15" t="s">
        <v>747</v>
      </c>
      <c r="E49" s="15" t="s">
        <v>754</v>
      </c>
      <c r="F49" s="17" t="str">
        <f t="shared" si="1"/>
        <v>L</v>
      </c>
    </row>
    <row r="50" spans="2:6" outlineLevel="1" x14ac:dyDescent="0.2">
      <c r="B50" s="15" t="s">
        <v>734</v>
      </c>
      <c r="C50" s="15" t="s">
        <v>743</v>
      </c>
      <c r="D50" s="15" t="s">
        <v>747</v>
      </c>
      <c r="E50" s="15" t="s">
        <v>755</v>
      </c>
      <c r="F50" s="17" t="str">
        <f t="shared" si="1"/>
        <v>L</v>
      </c>
    </row>
    <row r="51" spans="2:6" outlineLevel="1" x14ac:dyDescent="0.2">
      <c r="B51" s="15" t="s">
        <v>735</v>
      </c>
      <c r="C51" s="15" t="s">
        <v>743</v>
      </c>
      <c r="D51" s="15" t="s">
        <v>746</v>
      </c>
      <c r="E51" s="15" t="s">
        <v>756</v>
      </c>
      <c r="F51" s="17" t="str">
        <f t="shared" si="1"/>
        <v>S</v>
      </c>
    </row>
    <row r="52" spans="2:6" outlineLevel="1" x14ac:dyDescent="0.2">
      <c r="B52" s="15" t="s">
        <v>736</v>
      </c>
      <c r="C52" s="15" t="s">
        <v>743</v>
      </c>
      <c r="D52" s="15" t="s">
        <v>745</v>
      </c>
      <c r="E52" s="15" t="s">
        <v>757</v>
      </c>
      <c r="F52" s="17" t="str">
        <f t="shared" si="1"/>
        <v>L</v>
      </c>
    </row>
    <row r="53" spans="2:6" outlineLevel="1" x14ac:dyDescent="0.2">
      <c r="B53" s="15" t="s">
        <v>737</v>
      </c>
      <c r="C53" s="15" t="s">
        <v>743</v>
      </c>
      <c r="D53" s="15" t="s">
        <v>747</v>
      </c>
      <c r="E53" s="15" t="s">
        <v>758</v>
      </c>
      <c r="F53" s="17" t="str">
        <f t="shared" si="1"/>
        <v>L</v>
      </c>
    </row>
    <row r="54" spans="2:6" outlineLevel="1" x14ac:dyDescent="0.2">
      <c r="B54" s="15" t="s">
        <v>738</v>
      </c>
      <c r="C54" s="15" t="s">
        <v>743</v>
      </c>
      <c r="D54" s="15" t="s">
        <v>747</v>
      </c>
      <c r="E54" s="15" t="s">
        <v>759</v>
      </c>
      <c r="F54" s="17" t="str">
        <f t="shared" si="1"/>
        <v>S</v>
      </c>
    </row>
    <row r="55" spans="2:6" outlineLevel="1" x14ac:dyDescent="0.2">
      <c r="B55" s="15" t="s">
        <v>739</v>
      </c>
      <c r="C55" s="15" t="s">
        <v>743</v>
      </c>
      <c r="D55" s="15" t="s">
        <v>747</v>
      </c>
      <c r="E55" s="15" t="s">
        <v>760</v>
      </c>
      <c r="F55" s="17" t="str">
        <f t="shared" si="1"/>
        <v>S</v>
      </c>
    </row>
    <row r="56" spans="2:6" outlineLevel="1" x14ac:dyDescent="0.2">
      <c r="B56" s="15" t="s">
        <v>740</v>
      </c>
      <c r="C56" s="15" t="s">
        <v>743</v>
      </c>
      <c r="D56" s="15" t="s">
        <v>746</v>
      </c>
      <c r="E56" s="15" t="s">
        <v>761</v>
      </c>
      <c r="F56" s="17" t="str">
        <f t="shared" si="1"/>
        <v>S</v>
      </c>
    </row>
    <row r="57" spans="2:6" outlineLevel="1" x14ac:dyDescent="0.2">
      <c r="B57" s="15" t="s">
        <v>741</v>
      </c>
      <c r="C57" s="15" t="s">
        <v>743</v>
      </c>
      <c r="D57" s="15" t="s">
        <v>747</v>
      </c>
      <c r="E57" s="15" t="s">
        <v>762</v>
      </c>
      <c r="F57" s="17" t="str">
        <f t="shared" si="1"/>
        <v>S</v>
      </c>
    </row>
    <row r="65" outlineLevel="1" x14ac:dyDescent="0.2"/>
    <row r="66" outlineLevel="1" x14ac:dyDescent="0.2"/>
    <row r="67" outlineLevel="1" x14ac:dyDescent="0.2"/>
    <row r="68" outlineLevel="1" x14ac:dyDescent="0.2"/>
    <row r="69" outlineLevel="1" x14ac:dyDescent="0.2"/>
    <row r="70" outlineLevel="1" x14ac:dyDescent="0.2"/>
    <row r="71" outlineLevel="1" x14ac:dyDescent="0.2"/>
    <row r="72" outlineLevel="1" x14ac:dyDescent="0.2"/>
    <row r="73" outlineLevel="1" x14ac:dyDescent="0.2"/>
    <row r="74" outlineLevel="1" x14ac:dyDescent="0.2"/>
    <row r="75" outlineLevel="1" x14ac:dyDescent="0.2"/>
    <row r="76" outlineLevel="1" x14ac:dyDescent="0.2"/>
    <row r="77" outlineLevel="1" x14ac:dyDescent="0.2"/>
    <row r="78" outlineLevel="1" x14ac:dyDescent="0.2"/>
    <row r="79" outlineLevel="1" x14ac:dyDescent="0.2"/>
    <row r="80" outlineLevel="1" x14ac:dyDescent="0.2"/>
    <row r="81" spans="2:6" outlineLevel="1" x14ac:dyDescent="0.2"/>
    <row r="82" spans="2:6" outlineLevel="1" x14ac:dyDescent="0.2"/>
    <row r="83" spans="2:6" outlineLevel="1" x14ac:dyDescent="0.2"/>
    <row r="84" spans="2:6" ht="15" outlineLevel="1" x14ac:dyDescent="0.25">
      <c r="B84" s="4" t="s">
        <v>723</v>
      </c>
    </row>
    <row r="85" spans="2:6" outlineLevel="1" x14ac:dyDescent="0.2">
      <c r="B85" s="2" t="s">
        <v>724</v>
      </c>
    </row>
    <row r="86" spans="2:6" outlineLevel="1" x14ac:dyDescent="0.2"/>
    <row r="87" spans="2:6" ht="15" outlineLevel="1" x14ac:dyDescent="0.25">
      <c r="B87" s="21" t="s">
        <v>712</v>
      </c>
      <c r="C87" s="21" t="s">
        <v>713</v>
      </c>
      <c r="D87" s="21" t="s">
        <v>714</v>
      </c>
      <c r="E87" s="21" t="s">
        <v>715</v>
      </c>
      <c r="F87" s="21" t="s">
        <v>725</v>
      </c>
    </row>
    <row r="88" spans="2:6" outlineLevel="1" x14ac:dyDescent="0.2">
      <c r="B88" s="15" t="s">
        <v>716</v>
      </c>
      <c r="C88" s="47">
        <v>41587</v>
      </c>
      <c r="D88" s="47">
        <v>41590</v>
      </c>
      <c r="E88" s="15" t="s">
        <v>717</v>
      </c>
      <c r="F88" s="17" t="str">
        <f>LEFT(B88,2)</f>
        <v>CA</v>
      </c>
    </row>
    <row r="89" spans="2:6" outlineLevel="1" x14ac:dyDescent="0.2">
      <c r="B89" s="15" t="s">
        <v>716</v>
      </c>
      <c r="C89" s="47">
        <v>41587</v>
      </c>
      <c r="D89" s="47">
        <v>41590</v>
      </c>
      <c r="E89" s="15" t="s">
        <v>717</v>
      </c>
      <c r="F89" s="17" t="str">
        <f t="shared" ref="F89:F97" si="2">LEFT(B89,2)</f>
        <v>CA</v>
      </c>
    </row>
    <row r="90" spans="2:6" outlineLevel="1" x14ac:dyDescent="0.2">
      <c r="B90" s="15" t="s">
        <v>718</v>
      </c>
      <c r="C90" s="47">
        <v>41438</v>
      </c>
      <c r="D90" s="47">
        <v>41442</v>
      </c>
      <c r="E90" s="15" t="s">
        <v>717</v>
      </c>
      <c r="F90" s="17" t="str">
        <f t="shared" si="2"/>
        <v>CA</v>
      </c>
    </row>
    <row r="91" spans="2:6" outlineLevel="1" x14ac:dyDescent="0.2">
      <c r="B91" s="15" t="s">
        <v>719</v>
      </c>
      <c r="C91" s="47">
        <v>41193</v>
      </c>
      <c r="D91" s="47">
        <v>41200</v>
      </c>
      <c r="E91" s="15" t="s">
        <v>720</v>
      </c>
      <c r="F91" s="17" t="str">
        <f t="shared" si="2"/>
        <v>US</v>
      </c>
    </row>
    <row r="92" spans="2:6" outlineLevel="1" x14ac:dyDescent="0.2">
      <c r="B92" s="15" t="s">
        <v>719</v>
      </c>
      <c r="C92" s="47">
        <v>41193</v>
      </c>
      <c r="D92" s="47">
        <v>41200</v>
      </c>
      <c r="E92" s="15" t="s">
        <v>720</v>
      </c>
      <c r="F92" s="17" t="str">
        <f t="shared" si="2"/>
        <v>US</v>
      </c>
    </row>
    <row r="93" spans="2:6" outlineLevel="1" x14ac:dyDescent="0.2">
      <c r="B93" s="15" t="s">
        <v>721</v>
      </c>
      <c r="C93" s="47">
        <v>40703</v>
      </c>
      <c r="D93" s="47">
        <v>40708</v>
      </c>
      <c r="E93" s="15" t="s">
        <v>720</v>
      </c>
      <c r="F93" s="17" t="str">
        <f t="shared" si="2"/>
        <v>CA</v>
      </c>
    </row>
    <row r="94" spans="2:6" outlineLevel="1" x14ac:dyDescent="0.2">
      <c r="B94" s="15" t="s">
        <v>721</v>
      </c>
      <c r="C94" s="47">
        <v>40703</v>
      </c>
      <c r="D94" s="47">
        <v>40708</v>
      </c>
      <c r="E94" s="15" t="s">
        <v>720</v>
      </c>
      <c r="F94" s="17" t="str">
        <f t="shared" si="2"/>
        <v>CA</v>
      </c>
    </row>
    <row r="95" spans="2:6" outlineLevel="1" x14ac:dyDescent="0.2">
      <c r="B95" s="15" t="s">
        <v>721</v>
      </c>
      <c r="C95" s="47">
        <v>40703</v>
      </c>
      <c r="D95" s="47">
        <v>40708</v>
      </c>
      <c r="E95" s="15" t="s">
        <v>720</v>
      </c>
      <c r="F95" s="17" t="str">
        <f t="shared" si="2"/>
        <v>CA</v>
      </c>
    </row>
    <row r="96" spans="2:6" outlineLevel="1" x14ac:dyDescent="0.2">
      <c r="B96" s="15" t="s">
        <v>721</v>
      </c>
      <c r="C96" s="47">
        <v>40703</v>
      </c>
      <c r="D96" s="47">
        <v>40708</v>
      </c>
      <c r="E96" s="15" t="s">
        <v>720</v>
      </c>
      <c r="F96" s="17" t="str">
        <f t="shared" si="2"/>
        <v>CA</v>
      </c>
    </row>
    <row r="97" spans="2:6" outlineLevel="1" x14ac:dyDescent="0.2">
      <c r="B97" s="15" t="s">
        <v>721</v>
      </c>
      <c r="C97" s="47">
        <v>40703</v>
      </c>
      <c r="D97" s="47">
        <v>40708</v>
      </c>
      <c r="E97" s="15" t="s">
        <v>720</v>
      </c>
      <c r="F97" s="17" t="str">
        <f t="shared" si="2"/>
        <v>CA</v>
      </c>
    </row>
    <row r="98" spans="2:6" outlineLevel="1" x14ac:dyDescent="0.2">
      <c r="C98" s="46"/>
      <c r="D98" s="46"/>
    </row>
    <row r="99" spans="2:6" outlineLevel="1" x14ac:dyDescent="0.2">
      <c r="C99" s="46"/>
      <c r="D99" s="46"/>
    </row>
    <row r="100" spans="2:6" outlineLevel="1" x14ac:dyDescent="0.2">
      <c r="C100" s="46"/>
      <c r="D100" s="46"/>
    </row>
    <row r="101" spans="2:6" ht="15" outlineLevel="1" x14ac:dyDescent="0.25">
      <c r="B101" s="4" t="s">
        <v>419</v>
      </c>
    </row>
    <row r="102" spans="2:6" outlineLevel="1" x14ac:dyDescent="0.2">
      <c r="B102" s="2" t="s">
        <v>420</v>
      </c>
    </row>
    <row r="103" spans="2:6" outlineLevel="1" x14ac:dyDescent="0.2"/>
    <row r="104" spans="2:6" outlineLevel="1" x14ac:dyDescent="0.2"/>
    <row r="105" spans="2:6" outlineLevel="1" x14ac:dyDescent="0.2"/>
    <row r="106" spans="2:6" outlineLevel="1" x14ac:dyDescent="0.2"/>
    <row r="107" spans="2:6" ht="15" outlineLevel="1" x14ac:dyDescent="0.25">
      <c r="B107" s="21" t="s">
        <v>712</v>
      </c>
      <c r="C107" s="21" t="s">
        <v>742</v>
      </c>
      <c r="D107" s="21" t="s">
        <v>744</v>
      </c>
      <c r="E107" s="21" t="s">
        <v>748</v>
      </c>
      <c r="F107" s="21" t="s">
        <v>764</v>
      </c>
    </row>
    <row r="108" spans="2:6" outlineLevel="1" x14ac:dyDescent="0.2">
      <c r="B108" s="15" t="s">
        <v>728</v>
      </c>
      <c r="C108" s="15" t="s">
        <v>743</v>
      </c>
      <c r="D108" s="15" t="s">
        <v>745</v>
      </c>
      <c r="E108" s="15" t="s">
        <v>749</v>
      </c>
      <c r="F108" s="17"/>
    </row>
    <row r="109" spans="2:6" outlineLevel="1" x14ac:dyDescent="0.2">
      <c r="B109" s="15" t="s">
        <v>729</v>
      </c>
      <c r="C109" s="15" t="s">
        <v>743</v>
      </c>
      <c r="D109" s="15" t="s">
        <v>746</v>
      </c>
      <c r="E109" s="15" t="s">
        <v>750</v>
      </c>
      <c r="F109" s="17"/>
    </row>
    <row r="110" spans="2:6" outlineLevel="1" x14ac:dyDescent="0.2">
      <c r="B110" s="15" t="s">
        <v>730</v>
      </c>
      <c r="C110" s="15" t="s">
        <v>743</v>
      </c>
      <c r="D110" s="15" t="s">
        <v>747</v>
      </c>
      <c r="E110" s="15" t="s">
        <v>751</v>
      </c>
      <c r="F110" s="17"/>
    </row>
    <row r="111" spans="2:6" outlineLevel="1" x14ac:dyDescent="0.2">
      <c r="B111" s="15" t="s">
        <v>731</v>
      </c>
      <c r="C111" s="15" t="s">
        <v>743</v>
      </c>
      <c r="D111" s="15" t="s">
        <v>745</v>
      </c>
      <c r="E111" s="15" t="s">
        <v>752</v>
      </c>
      <c r="F111" s="17"/>
    </row>
    <row r="112" spans="2:6" x14ac:dyDescent="0.2">
      <c r="B112" s="15" t="s">
        <v>732</v>
      </c>
      <c r="C112" s="15" t="s">
        <v>743</v>
      </c>
      <c r="D112" s="15" t="s">
        <v>747</v>
      </c>
      <c r="E112" s="15" t="s">
        <v>753</v>
      </c>
      <c r="F112" s="17"/>
    </row>
    <row r="113" spans="2:6" x14ac:dyDescent="0.2">
      <c r="B113" s="15" t="s">
        <v>733</v>
      </c>
      <c r="C113" s="15" t="s">
        <v>743</v>
      </c>
      <c r="D113" s="15" t="s">
        <v>747</v>
      </c>
      <c r="E113" s="15" t="s">
        <v>754</v>
      </c>
      <c r="F113" s="17"/>
    </row>
    <row r="114" spans="2:6" x14ac:dyDescent="0.2">
      <c r="B114" s="15" t="s">
        <v>734</v>
      </c>
      <c r="C114" s="15" t="s">
        <v>743</v>
      </c>
      <c r="D114" s="15" t="s">
        <v>747</v>
      </c>
      <c r="E114" s="15" t="s">
        <v>755</v>
      </c>
      <c r="F114" s="17"/>
    </row>
    <row r="115" spans="2:6" x14ac:dyDescent="0.2">
      <c r="B115" s="15" t="s">
        <v>735</v>
      </c>
      <c r="C115" s="15" t="s">
        <v>743</v>
      </c>
      <c r="D115" s="15" t="s">
        <v>746</v>
      </c>
      <c r="E115" s="15" t="s">
        <v>756</v>
      </c>
      <c r="F115" s="17"/>
    </row>
    <row r="116" spans="2:6" x14ac:dyDescent="0.2">
      <c r="B116" s="15" t="s">
        <v>736</v>
      </c>
      <c r="C116" s="15" t="s">
        <v>743</v>
      </c>
      <c r="D116" s="15" t="s">
        <v>745</v>
      </c>
      <c r="E116" s="15" t="s">
        <v>757</v>
      </c>
      <c r="F116" s="17"/>
    </row>
    <row r="117" spans="2:6" x14ac:dyDescent="0.2">
      <c r="B117" s="15" t="s">
        <v>737</v>
      </c>
      <c r="C117" s="15" t="s">
        <v>743</v>
      </c>
      <c r="D117" s="15" t="s">
        <v>747</v>
      </c>
      <c r="E117" s="15" t="s">
        <v>758</v>
      </c>
      <c r="F117" s="17"/>
    </row>
    <row r="118" spans="2:6" x14ac:dyDescent="0.2">
      <c r="B118" s="15" t="s">
        <v>738</v>
      </c>
      <c r="C118" s="15" t="s">
        <v>743</v>
      </c>
      <c r="D118" s="15" t="s">
        <v>747</v>
      </c>
      <c r="E118" s="15" t="s">
        <v>759</v>
      </c>
      <c r="F118" s="17"/>
    </row>
    <row r="119" spans="2:6" outlineLevel="1" x14ac:dyDescent="0.2">
      <c r="B119" s="15" t="s">
        <v>739</v>
      </c>
      <c r="C119" s="15" t="s">
        <v>743</v>
      </c>
      <c r="D119" s="15" t="s">
        <v>747</v>
      </c>
      <c r="E119" s="15" t="s">
        <v>760</v>
      </c>
      <c r="F119" s="17"/>
    </row>
    <row r="120" spans="2:6" outlineLevel="1" x14ac:dyDescent="0.2">
      <c r="B120" s="15" t="s">
        <v>740</v>
      </c>
      <c r="C120" s="15" t="s">
        <v>743</v>
      </c>
      <c r="D120" s="15" t="s">
        <v>746</v>
      </c>
      <c r="E120" s="15" t="s">
        <v>761</v>
      </c>
      <c r="F120" s="17"/>
    </row>
    <row r="121" spans="2:6" outlineLevel="1" x14ac:dyDescent="0.2">
      <c r="B121" s="15" t="s">
        <v>741</v>
      </c>
      <c r="C121" s="15" t="s">
        <v>743</v>
      </c>
      <c r="D121" s="15" t="s">
        <v>747</v>
      </c>
      <c r="E121" s="15" t="s">
        <v>762</v>
      </c>
      <c r="F121" s="17"/>
    </row>
    <row r="122" spans="2:6" outlineLevel="1" x14ac:dyDescent="0.2"/>
    <row r="123" spans="2:6" outlineLevel="1" x14ac:dyDescent="0.2"/>
    <row r="124" spans="2:6" outlineLevel="1" x14ac:dyDescent="0.2"/>
    <row r="125" spans="2:6" outlineLevel="1" x14ac:dyDescent="0.2">
      <c r="C125" s="29"/>
    </row>
    <row r="126" spans="2:6" outlineLevel="1" x14ac:dyDescent="0.2">
      <c r="C126" s="3"/>
    </row>
    <row r="127" spans="2:6" outlineLevel="1" x14ac:dyDescent="0.2">
      <c r="C127" s="29"/>
    </row>
    <row r="128" spans="2:6" outlineLevel="1" x14ac:dyDescent="0.2"/>
    <row r="129" spans="2:4" outlineLevel="1" x14ac:dyDescent="0.2">
      <c r="C129" s="30"/>
    </row>
    <row r="130" spans="2:4" outlineLevel="1" x14ac:dyDescent="0.2">
      <c r="C130" s="30"/>
    </row>
    <row r="131" spans="2:4" outlineLevel="1" x14ac:dyDescent="0.2">
      <c r="C131" s="30"/>
    </row>
    <row r="132" spans="2:4" outlineLevel="1" x14ac:dyDescent="0.2">
      <c r="C132" s="30"/>
    </row>
    <row r="133" spans="2:4" outlineLevel="1" x14ac:dyDescent="0.2">
      <c r="C133" s="30"/>
    </row>
    <row r="134" spans="2:4" outlineLevel="1" x14ac:dyDescent="0.2">
      <c r="C134" s="29"/>
      <c r="D134" s="2" t="s">
        <v>444</v>
      </c>
    </row>
    <row r="135" spans="2:4" outlineLevel="1" x14ac:dyDescent="0.2">
      <c r="C135" s="30"/>
    </row>
    <row r="136" spans="2:4" outlineLevel="1" x14ac:dyDescent="0.2"/>
    <row r="137" spans="2:4" outlineLevel="1" x14ac:dyDescent="0.2"/>
    <row r="138" spans="2:4" outlineLevel="1" x14ac:dyDescent="0.2"/>
    <row r="139" spans="2:4" outlineLevel="1" x14ac:dyDescent="0.2"/>
    <row r="140" spans="2:4" outlineLevel="1" x14ac:dyDescent="0.2"/>
    <row r="141" spans="2:4" outlineLevel="1" x14ac:dyDescent="0.2"/>
    <row r="142" spans="2:4" ht="15" outlineLevel="1" x14ac:dyDescent="0.25">
      <c r="B142" s="4" t="s">
        <v>396</v>
      </c>
    </row>
    <row r="143" spans="2:4" outlineLevel="1" x14ac:dyDescent="0.2">
      <c r="B143" s="2" t="s">
        <v>397</v>
      </c>
    </row>
    <row r="144" spans="2:4" outlineLevel="1" x14ac:dyDescent="0.2"/>
    <row r="145" spans="2:6" ht="15" outlineLevel="1" x14ac:dyDescent="0.25">
      <c r="B145" s="4" t="s">
        <v>723</v>
      </c>
    </row>
    <row r="146" spans="2:6" outlineLevel="1" x14ac:dyDescent="0.2">
      <c r="B146" s="2" t="s">
        <v>724</v>
      </c>
    </row>
    <row r="147" spans="2:6" outlineLevel="1" x14ac:dyDescent="0.2"/>
    <row r="148" spans="2:6" ht="15" outlineLevel="1" x14ac:dyDescent="0.25">
      <c r="B148" s="21" t="s">
        <v>712</v>
      </c>
      <c r="C148" s="21" t="s">
        <v>713</v>
      </c>
      <c r="D148" s="21" t="s">
        <v>714</v>
      </c>
      <c r="E148" s="21" t="s">
        <v>715</v>
      </c>
      <c r="F148" s="21" t="s">
        <v>766</v>
      </c>
    </row>
    <row r="149" spans="2:6" outlineLevel="1" x14ac:dyDescent="0.2">
      <c r="B149" s="15" t="s">
        <v>716</v>
      </c>
      <c r="C149" s="47">
        <v>41587</v>
      </c>
      <c r="D149" s="47">
        <v>41590</v>
      </c>
      <c r="E149" s="15" t="s">
        <v>717</v>
      </c>
      <c r="F149" s="17" t="str">
        <f>MID(B149,4,4)</f>
        <v>2013</v>
      </c>
    </row>
    <row r="150" spans="2:6" outlineLevel="1" x14ac:dyDescent="0.2">
      <c r="B150" s="15" t="s">
        <v>716</v>
      </c>
      <c r="C150" s="47">
        <v>41587</v>
      </c>
      <c r="D150" s="47">
        <v>41590</v>
      </c>
      <c r="E150" s="15" t="s">
        <v>717</v>
      </c>
      <c r="F150" s="17" t="str">
        <f t="shared" ref="F150:F158" si="3">MID(B150,4,4)</f>
        <v>2013</v>
      </c>
    </row>
    <row r="151" spans="2:6" outlineLevel="1" x14ac:dyDescent="0.2">
      <c r="B151" s="15" t="s">
        <v>718</v>
      </c>
      <c r="C151" s="47">
        <v>41438</v>
      </c>
      <c r="D151" s="47">
        <v>41442</v>
      </c>
      <c r="E151" s="15" t="s">
        <v>717</v>
      </c>
      <c r="F151" s="17" t="str">
        <f t="shared" si="3"/>
        <v>2013</v>
      </c>
    </row>
    <row r="152" spans="2:6" outlineLevel="1" x14ac:dyDescent="0.2">
      <c r="B152" s="15" t="s">
        <v>719</v>
      </c>
      <c r="C152" s="47">
        <v>41193</v>
      </c>
      <c r="D152" s="47">
        <v>41200</v>
      </c>
      <c r="E152" s="15" t="s">
        <v>720</v>
      </c>
      <c r="F152" s="17" t="str">
        <f t="shared" si="3"/>
        <v>2012</v>
      </c>
    </row>
    <row r="153" spans="2:6" outlineLevel="1" x14ac:dyDescent="0.2">
      <c r="B153" s="15" t="s">
        <v>719</v>
      </c>
      <c r="C153" s="47">
        <v>41193</v>
      </c>
      <c r="D153" s="47">
        <v>41200</v>
      </c>
      <c r="E153" s="15" t="s">
        <v>720</v>
      </c>
      <c r="F153" s="17" t="str">
        <f t="shared" si="3"/>
        <v>2012</v>
      </c>
    </row>
    <row r="154" spans="2:6" outlineLevel="1" x14ac:dyDescent="0.2">
      <c r="B154" s="15" t="s">
        <v>721</v>
      </c>
      <c r="C154" s="47">
        <v>40703</v>
      </c>
      <c r="D154" s="47">
        <v>40708</v>
      </c>
      <c r="E154" s="15" t="s">
        <v>720</v>
      </c>
      <c r="F154" s="17" t="str">
        <f t="shared" si="3"/>
        <v>2011</v>
      </c>
    </row>
    <row r="155" spans="2:6" outlineLevel="1" x14ac:dyDescent="0.2">
      <c r="B155" s="15" t="s">
        <v>721</v>
      </c>
      <c r="C155" s="47">
        <v>40703</v>
      </c>
      <c r="D155" s="47">
        <v>40708</v>
      </c>
      <c r="E155" s="15" t="s">
        <v>720</v>
      </c>
      <c r="F155" s="17" t="str">
        <f t="shared" si="3"/>
        <v>2011</v>
      </c>
    </row>
    <row r="156" spans="2:6" outlineLevel="1" x14ac:dyDescent="0.2">
      <c r="B156" s="15" t="s">
        <v>721</v>
      </c>
      <c r="C156" s="47">
        <v>40703</v>
      </c>
      <c r="D156" s="47">
        <v>40708</v>
      </c>
      <c r="E156" s="15" t="s">
        <v>720</v>
      </c>
      <c r="F156" s="17" t="str">
        <f t="shared" si="3"/>
        <v>2011</v>
      </c>
    </row>
    <row r="157" spans="2:6" outlineLevel="1" x14ac:dyDescent="0.2">
      <c r="B157" s="15" t="s">
        <v>721</v>
      </c>
      <c r="C157" s="47">
        <v>40703</v>
      </c>
      <c r="D157" s="47">
        <v>40708</v>
      </c>
      <c r="E157" s="15" t="s">
        <v>720</v>
      </c>
      <c r="F157" s="17" t="str">
        <f t="shared" si="3"/>
        <v>2011</v>
      </c>
    </row>
    <row r="158" spans="2:6" outlineLevel="1" x14ac:dyDescent="0.2">
      <c r="B158" s="15" t="s">
        <v>721</v>
      </c>
      <c r="C158" s="47">
        <v>40703</v>
      </c>
      <c r="D158" s="47">
        <v>40708</v>
      </c>
      <c r="E158" s="15" t="s">
        <v>720</v>
      </c>
      <c r="F158" s="17" t="str">
        <f t="shared" si="3"/>
        <v>2011</v>
      </c>
    </row>
    <row r="159" spans="2:6" outlineLevel="1" x14ac:dyDescent="0.2"/>
    <row r="160" spans="2:6" outlineLevel="1" x14ac:dyDescent="0.2"/>
    <row r="161" spans="2:6" outlineLevel="1" x14ac:dyDescent="0.2"/>
    <row r="162" spans="2:6" ht="15" outlineLevel="1" x14ac:dyDescent="0.25">
      <c r="B162" s="4" t="s">
        <v>723</v>
      </c>
    </row>
    <row r="163" spans="2:6" outlineLevel="1" x14ac:dyDescent="0.2">
      <c r="B163" s="2" t="s">
        <v>724</v>
      </c>
    </row>
    <row r="164" spans="2:6" outlineLevel="1" x14ac:dyDescent="0.2"/>
    <row r="165" spans="2:6" outlineLevel="1" x14ac:dyDescent="0.2"/>
    <row r="166" spans="2:6" outlineLevel="1" x14ac:dyDescent="0.2"/>
    <row r="167" spans="2:6" outlineLevel="1" x14ac:dyDescent="0.2"/>
    <row r="168" spans="2:6" ht="15" outlineLevel="1" x14ac:dyDescent="0.25">
      <c r="B168" s="21" t="s">
        <v>712</v>
      </c>
      <c r="C168" s="21" t="s">
        <v>742</v>
      </c>
      <c r="D168" s="21" t="s">
        <v>744</v>
      </c>
      <c r="E168" s="21" t="s">
        <v>748</v>
      </c>
      <c r="F168" s="21" t="s">
        <v>765</v>
      </c>
    </row>
    <row r="169" spans="2:6" outlineLevel="1" x14ac:dyDescent="0.2">
      <c r="B169" s="15" t="s">
        <v>728</v>
      </c>
      <c r="C169" s="15" t="s">
        <v>743</v>
      </c>
      <c r="D169" s="15" t="s">
        <v>745</v>
      </c>
      <c r="E169" s="15" t="s">
        <v>749</v>
      </c>
      <c r="F169" s="17"/>
    </row>
    <row r="170" spans="2:6" x14ac:dyDescent="0.2">
      <c r="B170" s="15" t="s">
        <v>729</v>
      </c>
      <c r="C170" s="15" t="s">
        <v>743</v>
      </c>
      <c r="D170" s="15" t="s">
        <v>746</v>
      </c>
      <c r="E170" s="15" t="s">
        <v>750</v>
      </c>
      <c r="F170" s="17"/>
    </row>
    <row r="171" spans="2:6" x14ac:dyDescent="0.2">
      <c r="B171" s="15" t="s">
        <v>730</v>
      </c>
      <c r="C171" s="15" t="s">
        <v>743</v>
      </c>
      <c r="D171" s="15" t="s">
        <v>747</v>
      </c>
      <c r="E171" s="15" t="s">
        <v>751</v>
      </c>
      <c r="F171" s="17"/>
    </row>
    <row r="172" spans="2:6" x14ac:dyDescent="0.2">
      <c r="B172" s="15" t="s">
        <v>731</v>
      </c>
      <c r="C172" s="15" t="s">
        <v>743</v>
      </c>
      <c r="D172" s="15" t="s">
        <v>745</v>
      </c>
      <c r="E172" s="15" t="s">
        <v>752</v>
      </c>
      <c r="F172" s="17"/>
    </row>
    <row r="173" spans="2:6" x14ac:dyDescent="0.2">
      <c r="B173" s="15" t="s">
        <v>732</v>
      </c>
      <c r="C173" s="15" t="s">
        <v>743</v>
      </c>
      <c r="D173" s="15" t="s">
        <v>747</v>
      </c>
      <c r="E173" s="15" t="s">
        <v>753</v>
      </c>
      <c r="F173" s="17"/>
    </row>
    <row r="174" spans="2:6" x14ac:dyDescent="0.2">
      <c r="B174" s="15" t="s">
        <v>733</v>
      </c>
      <c r="C174" s="15" t="s">
        <v>743</v>
      </c>
      <c r="D174" s="15" t="s">
        <v>747</v>
      </c>
      <c r="E174" s="15" t="s">
        <v>754</v>
      </c>
      <c r="F174" s="17"/>
    </row>
    <row r="175" spans="2:6" x14ac:dyDescent="0.2">
      <c r="B175" s="15" t="s">
        <v>734</v>
      </c>
      <c r="C175" s="15" t="s">
        <v>743</v>
      </c>
      <c r="D175" s="15" t="s">
        <v>747</v>
      </c>
      <c r="E175" s="15" t="s">
        <v>755</v>
      </c>
      <c r="F175" s="17"/>
    </row>
    <row r="176" spans="2:6" x14ac:dyDescent="0.2">
      <c r="B176" s="15" t="s">
        <v>735</v>
      </c>
      <c r="C176" s="15" t="s">
        <v>743</v>
      </c>
      <c r="D176" s="15" t="s">
        <v>746</v>
      </c>
      <c r="E176" s="15" t="s">
        <v>756</v>
      </c>
      <c r="F176" s="17"/>
    </row>
    <row r="177" spans="2:6" x14ac:dyDescent="0.2">
      <c r="B177" s="15" t="s">
        <v>736</v>
      </c>
      <c r="C177" s="15" t="s">
        <v>743</v>
      </c>
      <c r="D177" s="15" t="s">
        <v>745</v>
      </c>
      <c r="E177" s="15" t="s">
        <v>757</v>
      </c>
      <c r="F177" s="17"/>
    </row>
    <row r="178" spans="2:6" x14ac:dyDescent="0.2">
      <c r="B178" s="15" t="s">
        <v>737</v>
      </c>
      <c r="C178" s="15" t="s">
        <v>743</v>
      </c>
      <c r="D178" s="15" t="s">
        <v>747</v>
      </c>
      <c r="E178" s="15" t="s">
        <v>758</v>
      </c>
      <c r="F178" s="17"/>
    </row>
    <row r="179" spans="2:6" x14ac:dyDescent="0.2">
      <c r="B179" s="15" t="s">
        <v>738</v>
      </c>
      <c r="C179" s="15" t="s">
        <v>743</v>
      </c>
      <c r="D179" s="15" t="s">
        <v>747</v>
      </c>
      <c r="E179" s="15" t="s">
        <v>759</v>
      </c>
      <c r="F179" s="17"/>
    </row>
    <row r="180" spans="2:6" x14ac:dyDescent="0.2">
      <c r="B180" s="15" t="s">
        <v>739</v>
      </c>
      <c r="C180" s="15" t="s">
        <v>743</v>
      </c>
      <c r="D180" s="15" t="s">
        <v>747</v>
      </c>
      <c r="E180" s="15" t="s">
        <v>760</v>
      </c>
      <c r="F180" s="17"/>
    </row>
    <row r="181" spans="2:6" x14ac:dyDescent="0.2">
      <c r="B181" s="15" t="s">
        <v>740</v>
      </c>
      <c r="C181" s="15" t="s">
        <v>743</v>
      </c>
      <c r="D181" s="15" t="s">
        <v>746</v>
      </c>
      <c r="E181" s="15" t="s">
        <v>761</v>
      </c>
      <c r="F181" s="17"/>
    </row>
    <row r="182" spans="2:6" x14ac:dyDescent="0.2">
      <c r="B182" s="15" t="s">
        <v>741</v>
      </c>
      <c r="C182" s="15" t="s">
        <v>743</v>
      </c>
      <c r="D182" s="15" t="s">
        <v>747</v>
      </c>
      <c r="E182" s="15" t="s">
        <v>762</v>
      </c>
      <c r="F182"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0BB5-5F7E-41C1-A62D-8A88EB252250}">
  <dimension ref="B1:E182"/>
  <sheetViews>
    <sheetView showGridLines="0" zoomScale="75" zoomScaleNormal="90" workbookViewId="0">
      <pane ySplit="3" topLeftCell="A9" activePane="bottomLeft" state="frozen"/>
      <selection pane="bottomLeft" activeCell="E44" sqref="E44"/>
    </sheetView>
  </sheetViews>
  <sheetFormatPr baseColWidth="10" defaultColWidth="11.5" defaultRowHeight="14.25" outlineLevelRow="1" x14ac:dyDescent="0.2"/>
  <cols>
    <col min="1" max="1" width="1.5" style="2" customWidth="1"/>
    <col min="2" max="2" width="39.5" style="2" customWidth="1"/>
    <col min="3" max="3" width="14.25" style="2" customWidth="1"/>
    <col min="4" max="4" width="38.25" style="2" bestFit="1" customWidth="1"/>
    <col min="5" max="5" width="14.25" style="2" bestFit="1" customWidth="1"/>
    <col min="6" max="6" width="8.875"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4" outlineLevel="1" x14ac:dyDescent="0.2"/>
    <row r="18" spans="2:4" outlineLevel="1" x14ac:dyDescent="0.2"/>
    <row r="19" spans="2:4" outlineLevel="1" x14ac:dyDescent="0.2"/>
    <row r="20" spans="2:4" ht="15" outlineLevel="1" x14ac:dyDescent="0.25">
      <c r="B20" s="4" t="s">
        <v>779</v>
      </c>
    </row>
    <row r="21" spans="2:4" outlineLevel="1" x14ac:dyDescent="0.2">
      <c r="B21" s="2" t="s">
        <v>780</v>
      </c>
    </row>
    <row r="22" spans="2:4" outlineLevel="1" x14ac:dyDescent="0.2"/>
    <row r="23" spans="2:4" ht="15" outlineLevel="1" x14ac:dyDescent="0.25">
      <c r="B23" s="21" t="s">
        <v>778</v>
      </c>
      <c r="C23" s="21" t="s">
        <v>781</v>
      </c>
      <c r="D23" s="21" t="s">
        <v>782</v>
      </c>
    </row>
    <row r="24" spans="2:4" outlineLevel="1" x14ac:dyDescent="0.2">
      <c r="B24" s="15" t="s">
        <v>768</v>
      </c>
      <c r="C24" s="15" t="s">
        <v>783</v>
      </c>
      <c r="D24" s="17">
        <f>LEN(B24)-5</f>
        <v>18</v>
      </c>
    </row>
    <row r="25" spans="2:4" outlineLevel="1" x14ac:dyDescent="0.2">
      <c r="B25" s="15" t="s">
        <v>769</v>
      </c>
      <c r="C25" s="15" t="s">
        <v>784</v>
      </c>
      <c r="D25" s="17">
        <f t="shared" ref="D25:D33" si="0">LEN(B25)-5</f>
        <v>15</v>
      </c>
    </row>
    <row r="26" spans="2:4" outlineLevel="1" x14ac:dyDescent="0.2">
      <c r="B26" s="15" t="s">
        <v>770</v>
      </c>
      <c r="C26" s="15" t="s">
        <v>785</v>
      </c>
      <c r="D26" s="17">
        <f t="shared" si="0"/>
        <v>12</v>
      </c>
    </row>
    <row r="27" spans="2:4" outlineLevel="1" x14ac:dyDescent="0.2">
      <c r="B27" s="15" t="s">
        <v>771</v>
      </c>
      <c r="C27" s="15" t="s">
        <v>786</v>
      </c>
      <c r="D27" s="17">
        <f t="shared" si="0"/>
        <v>16</v>
      </c>
    </row>
    <row r="28" spans="2:4" outlineLevel="1" x14ac:dyDescent="0.2">
      <c r="B28" s="15" t="s">
        <v>772</v>
      </c>
      <c r="C28" s="15" t="s">
        <v>787</v>
      </c>
      <c r="D28" s="17">
        <f t="shared" si="0"/>
        <v>12</v>
      </c>
    </row>
    <row r="29" spans="2:4" outlineLevel="1" x14ac:dyDescent="0.2">
      <c r="B29" s="15" t="s">
        <v>773</v>
      </c>
      <c r="C29" s="15" t="s">
        <v>788</v>
      </c>
      <c r="D29" s="17">
        <f t="shared" si="0"/>
        <v>15</v>
      </c>
    </row>
    <row r="30" spans="2:4" outlineLevel="1" x14ac:dyDescent="0.2">
      <c r="B30" s="15" t="s">
        <v>774</v>
      </c>
      <c r="C30" s="15" t="s">
        <v>789</v>
      </c>
      <c r="D30" s="17">
        <f t="shared" si="0"/>
        <v>17</v>
      </c>
    </row>
    <row r="31" spans="2:4" outlineLevel="1" x14ac:dyDescent="0.2">
      <c r="B31" s="15" t="s">
        <v>775</v>
      </c>
      <c r="C31" s="15" t="s">
        <v>790</v>
      </c>
      <c r="D31" s="17">
        <f t="shared" si="0"/>
        <v>13</v>
      </c>
    </row>
    <row r="32" spans="2:4" outlineLevel="1" x14ac:dyDescent="0.2">
      <c r="B32" s="15" t="s">
        <v>776</v>
      </c>
      <c r="C32" s="15" t="s">
        <v>791</v>
      </c>
      <c r="D32" s="17">
        <f t="shared" si="0"/>
        <v>16</v>
      </c>
    </row>
    <row r="33" spans="2:5" outlineLevel="1" x14ac:dyDescent="0.2">
      <c r="B33" s="15" t="s">
        <v>777</v>
      </c>
      <c r="C33" s="15" t="s">
        <v>792</v>
      </c>
      <c r="D33" s="17">
        <f t="shared" si="0"/>
        <v>10</v>
      </c>
    </row>
    <row r="34" spans="2:5" outlineLevel="1" x14ac:dyDescent="0.2"/>
    <row r="35" spans="2:5" outlineLevel="1" x14ac:dyDescent="0.2"/>
    <row r="36" spans="2:5" outlineLevel="1" x14ac:dyDescent="0.2"/>
    <row r="37" spans="2:5" ht="15" outlineLevel="1" x14ac:dyDescent="0.25">
      <c r="B37" s="4" t="s">
        <v>793</v>
      </c>
    </row>
    <row r="38" spans="2:5" outlineLevel="1" x14ac:dyDescent="0.2">
      <c r="B38" s="2" t="s">
        <v>794</v>
      </c>
    </row>
    <row r="39" spans="2:5" outlineLevel="1" x14ac:dyDescent="0.2"/>
    <row r="40" spans="2:5" outlineLevel="1" x14ac:dyDescent="0.2"/>
    <row r="41" spans="2:5" outlineLevel="1" x14ac:dyDescent="0.2"/>
    <row r="42" spans="2:5" outlineLevel="1" x14ac:dyDescent="0.2"/>
    <row r="43" spans="2:5" ht="15" outlineLevel="1" x14ac:dyDescent="0.25">
      <c r="B43" s="21" t="s">
        <v>805</v>
      </c>
      <c r="C43" s="21" t="s">
        <v>795</v>
      </c>
      <c r="D43" s="21" t="s">
        <v>796</v>
      </c>
      <c r="E43" s="21" t="s">
        <v>806</v>
      </c>
    </row>
    <row r="44" spans="2:5" outlineLevel="1" x14ac:dyDescent="0.2">
      <c r="B44" s="15" t="s">
        <v>797</v>
      </c>
      <c r="C44" s="15">
        <v>49.5</v>
      </c>
      <c r="D44" s="15">
        <v>44.5</v>
      </c>
      <c r="E44" s="17">
        <f>LEN(B44)</f>
        <v>11</v>
      </c>
    </row>
    <row r="45" spans="2:5" outlineLevel="1" x14ac:dyDescent="0.2">
      <c r="B45" s="15" t="s">
        <v>798</v>
      </c>
      <c r="C45" s="15">
        <v>47.7</v>
      </c>
      <c r="D45" s="15">
        <v>44.2</v>
      </c>
      <c r="E45" s="17">
        <f t="shared" ref="E45:E51" si="1">LEN(B45)</f>
        <v>7</v>
      </c>
    </row>
    <row r="46" spans="2:5" outlineLevel="1" x14ac:dyDescent="0.2">
      <c r="B46" s="15" t="s">
        <v>799</v>
      </c>
      <c r="C46" s="15">
        <v>36.799999999999997</v>
      </c>
      <c r="D46" s="15">
        <v>31.47</v>
      </c>
      <c r="E46" s="17">
        <f t="shared" si="1"/>
        <v>13</v>
      </c>
    </row>
    <row r="47" spans="2:5" outlineLevel="1" x14ac:dyDescent="0.2">
      <c r="B47" s="15" t="s">
        <v>800</v>
      </c>
      <c r="C47" s="15">
        <v>19.899999999999999</v>
      </c>
      <c r="D47" s="15">
        <v>25.9</v>
      </c>
      <c r="E47" s="17">
        <f t="shared" si="1"/>
        <v>11</v>
      </c>
    </row>
    <row r="48" spans="2:5" outlineLevel="1" x14ac:dyDescent="0.2">
      <c r="B48" s="15" t="s">
        <v>801</v>
      </c>
      <c r="C48" s="15">
        <v>21.9</v>
      </c>
      <c r="D48" s="15">
        <v>21.77</v>
      </c>
      <c r="E48" s="17">
        <f t="shared" si="1"/>
        <v>17</v>
      </c>
    </row>
    <row r="49" spans="2:5" outlineLevel="1" x14ac:dyDescent="0.2">
      <c r="B49" s="15" t="s">
        <v>802</v>
      </c>
      <c r="C49" s="15">
        <v>12.7</v>
      </c>
      <c r="D49" s="15">
        <v>16.46</v>
      </c>
      <c r="E49" s="17">
        <f t="shared" si="1"/>
        <v>12</v>
      </c>
    </row>
    <row r="50" spans="2:5" outlineLevel="1" x14ac:dyDescent="0.2">
      <c r="B50" s="15" t="s">
        <v>803</v>
      </c>
      <c r="C50" s="15">
        <v>34.200000000000003</v>
      </c>
      <c r="D50" s="15">
        <v>15.31</v>
      </c>
      <c r="E50" s="17">
        <f t="shared" si="1"/>
        <v>10</v>
      </c>
    </row>
    <row r="51" spans="2:5" outlineLevel="1" x14ac:dyDescent="0.2">
      <c r="B51" s="15" t="s">
        <v>804</v>
      </c>
      <c r="C51" s="15">
        <v>10.6</v>
      </c>
      <c r="D51" s="15">
        <v>13.11</v>
      </c>
      <c r="E51" s="17">
        <f t="shared" si="1"/>
        <v>6</v>
      </c>
    </row>
    <row r="52" spans="2:5" outlineLevel="1" x14ac:dyDescent="0.2"/>
    <row r="53" spans="2:5" outlineLevel="1" x14ac:dyDescent="0.2"/>
    <row r="61" spans="2:5" outlineLevel="1" x14ac:dyDescent="0.2"/>
    <row r="62" spans="2:5" outlineLevel="1" x14ac:dyDescent="0.2"/>
    <row r="63" spans="2:5" outlineLevel="1" x14ac:dyDescent="0.2"/>
    <row r="64" spans="2:5" outlineLevel="1" x14ac:dyDescent="0.2"/>
    <row r="65" spans="2:2" outlineLevel="1" x14ac:dyDescent="0.2"/>
    <row r="66" spans="2:2" outlineLevel="1" x14ac:dyDescent="0.2"/>
    <row r="67" spans="2:2" outlineLevel="1" x14ac:dyDescent="0.2"/>
    <row r="68" spans="2:2" outlineLevel="1" x14ac:dyDescent="0.2"/>
    <row r="69" spans="2:2" outlineLevel="1" x14ac:dyDescent="0.2"/>
    <row r="70" spans="2:2" outlineLevel="1" x14ac:dyDescent="0.2"/>
    <row r="71" spans="2:2" outlineLevel="1" x14ac:dyDescent="0.2"/>
    <row r="72" spans="2:2" outlineLevel="1" x14ac:dyDescent="0.2"/>
    <row r="73" spans="2:2" outlineLevel="1" x14ac:dyDescent="0.2"/>
    <row r="74" spans="2:2" outlineLevel="1" x14ac:dyDescent="0.2"/>
    <row r="75" spans="2:2" outlineLevel="1" x14ac:dyDescent="0.2"/>
    <row r="76" spans="2:2" outlineLevel="1" x14ac:dyDescent="0.2"/>
    <row r="77" spans="2:2" outlineLevel="1" x14ac:dyDescent="0.2"/>
    <row r="78" spans="2:2" outlineLevel="1" x14ac:dyDescent="0.2"/>
    <row r="79" spans="2:2" outlineLevel="1" x14ac:dyDescent="0.2"/>
    <row r="80" spans="2:2" ht="15" outlineLevel="1" x14ac:dyDescent="0.25">
      <c r="B80" s="4" t="s">
        <v>821</v>
      </c>
    </row>
    <row r="81" spans="2:4" outlineLevel="1" x14ac:dyDescent="0.2">
      <c r="B81" s="2" t="s">
        <v>822</v>
      </c>
    </row>
    <row r="82" spans="2:4" outlineLevel="1" x14ac:dyDescent="0.2"/>
    <row r="83" spans="2:4" ht="15" outlineLevel="1" x14ac:dyDescent="0.25">
      <c r="B83" s="21" t="s">
        <v>820</v>
      </c>
      <c r="C83" s="21" t="s">
        <v>823</v>
      </c>
      <c r="D83" s="21" t="s">
        <v>824</v>
      </c>
    </row>
    <row r="84" spans="2:4" outlineLevel="1" x14ac:dyDescent="0.2">
      <c r="B84" s="15" t="s">
        <v>807</v>
      </c>
      <c r="C84" s="25">
        <v>27112595</v>
      </c>
      <c r="D84" s="17" t="e">
        <f>FIND(" ",B84)</f>
        <v>#VALUE!</v>
      </c>
    </row>
    <row r="85" spans="2:4" outlineLevel="1" x14ac:dyDescent="0.2">
      <c r="B85" s="15" t="s">
        <v>808</v>
      </c>
      <c r="C85" s="25">
        <v>18297900</v>
      </c>
      <c r="D85" s="17" t="e">
        <f t="shared" ref="D85:D97" si="2">FIND(" ",B85)</f>
        <v>#VALUE!</v>
      </c>
    </row>
    <row r="86" spans="2:4" outlineLevel="1" x14ac:dyDescent="0.2">
      <c r="B86" s="15" t="s">
        <v>809</v>
      </c>
      <c r="C86" s="25">
        <v>16144302</v>
      </c>
      <c r="D86" s="17" t="e">
        <f t="shared" si="2"/>
        <v>#VALUE!</v>
      </c>
    </row>
    <row r="87" spans="2:4" outlineLevel="1" x14ac:dyDescent="0.2">
      <c r="B87" s="15" t="s">
        <v>810</v>
      </c>
      <c r="C87" s="25">
        <v>11879057</v>
      </c>
      <c r="D87" s="17">
        <f t="shared" si="2"/>
        <v>4</v>
      </c>
    </row>
    <row r="88" spans="2:4" outlineLevel="1" x14ac:dyDescent="0.2">
      <c r="B88" s="15" t="s">
        <v>811</v>
      </c>
      <c r="C88" s="25">
        <v>9098570</v>
      </c>
      <c r="D88" s="17" t="e">
        <f t="shared" si="2"/>
        <v>#VALUE!</v>
      </c>
    </row>
    <row r="89" spans="2:4" outlineLevel="1" x14ac:dyDescent="0.2">
      <c r="B89" s="15" t="s">
        <v>812</v>
      </c>
      <c r="C89" s="25">
        <v>8364843</v>
      </c>
      <c r="D89" s="17" t="e">
        <f t="shared" si="2"/>
        <v>#VALUE!</v>
      </c>
    </row>
    <row r="90" spans="2:4" outlineLevel="1" x14ac:dyDescent="0.2">
      <c r="B90" s="15" t="s">
        <v>813</v>
      </c>
      <c r="C90" s="25">
        <v>8283546</v>
      </c>
      <c r="D90" s="17" t="e">
        <f t="shared" si="2"/>
        <v>#VALUE!</v>
      </c>
    </row>
    <row r="91" spans="2:4" outlineLevel="1" x14ac:dyDescent="0.2">
      <c r="B91" s="15" t="s">
        <v>814</v>
      </c>
      <c r="C91" s="25">
        <v>7982471</v>
      </c>
      <c r="D91" s="17" t="e">
        <f t="shared" si="2"/>
        <v>#VALUE!</v>
      </c>
    </row>
    <row r="92" spans="2:4" outlineLevel="1" x14ac:dyDescent="0.2">
      <c r="B92" s="15" t="s">
        <v>815</v>
      </c>
      <c r="C92" s="25">
        <v>7765109</v>
      </c>
      <c r="D92" s="17">
        <f t="shared" si="2"/>
        <v>6</v>
      </c>
    </row>
    <row r="93" spans="2:4" outlineLevel="1" x14ac:dyDescent="0.2">
      <c r="B93" s="15" t="s">
        <v>404</v>
      </c>
      <c r="C93" s="25">
        <v>7663847</v>
      </c>
      <c r="D93" s="17" t="e">
        <f t="shared" si="2"/>
        <v>#VALUE!</v>
      </c>
    </row>
    <row r="94" spans="2:4" outlineLevel="1" x14ac:dyDescent="0.2">
      <c r="B94" s="15" t="s">
        <v>816</v>
      </c>
      <c r="C94" s="25">
        <v>6461950</v>
      </c>
      <c r="D94" s="17">
        <f t="shared" si="2"/>
        <v>4</v>
      </c>
    </row>
    <row r="95" spans="2:4" outlineLevel="1" x14ac:dyDescent="0.2">
      <c r="B95" s="15" t="s">
        <v>817</v>
      </c>
      <c r="C95" s="25">
        <v>5912644</v>
      </c>
      <c r="D95" s="17" t="e">
        <f t="shared" si="2"/>
        <v>#VALUE!</v>
      </c>
    </row>
    <row r="96" spans="2:4" outlineLevel="1" x14ac:dyDescent="0.2">
      <c r="B96" s="15" t="s">
        <v>818</v>
      </c>
      <c r="C96" s="25">
        <v>5868509</v>
      </c>
      <c r="D96" s="17" t="e">
        <f t="shared" si="2"/>
        <v>#VALUE!</v>
      </c>
    </row>
    <row r="97" spans="2:4" outlineLevel="1" x14ac:dyDescent="0.2">
      <c r="B97" s="15" t="s">
        <v>819</v>
      </c>
      <c r="C97" s="25">
        <v>5795216</v>
      </c>
      <c r="D97" s="17" t="e">
        <f t="shared" si="2"/>
        <v>#VALUE!</v>
      </c>
    </row>
    <row r="98" spans="2:4" outlineLevel="1" x14ac:dyDescent="0.2"/>
    <row r="99" spans="2:4" outlineLevel="1" x14ac:dyDescent="0.2"/>
    <row r="100" spans="2:4" outlineLevel="1" x14ac:dyDescent="0.2"/>
    <row r="101" spans="2:4" outlineLevel="1" x14ac:dyDescent="0.2"/>
    <row r="102" spans="2:4" ht="15" outlineLevel="1" x14ac:dyDescent="0.25">
      <c r="B102" s="4" t="s">
        <v>825</v>
      </c>
    </row>
    <row r="103" spans="2:4" outlineLevel="1" x14ac:dyDescent="0.2">
      <c r="B103" s="2" t="s">
        <v>826</v>
      </c>
    </row>
    <row r="104" spans="2:4" outlineLevel="1" x14ac:dyDescent="0.2"/>
    <row r="105" spans="2:4" outlineLevel="1" x14ac:dyDescent="0.2"/>
    <row r="106" spans="2:4" outlineLevel="1" x14ac:dyDescent="0.2"/>
    <row r="107" spans="2:4" outlineLevel="1" x14ac:dyDescent="0.2"/>
    <row r="108" spans="2:4" ht="15" outlineLevel="1" x14ac:dyDescent="0.25">
      <c r="B108" s="21" t="s">
        <v>834</v>
      </c>
      <c r="C108" s="21" t="s">
        <v>835</v>
      </c>
      <c r="D108" s="21" t="s">
        <v>836</v>
      </c>
    </row>
    <row r="109" spans="2:4" outlineLevel="1" x14ac:dyDescent="0.2">
      <c r="B109" s="15" t="s">
        <v>827</v>
      </c>
      <c r="C109" s="15">
        <v>182.35</v>
      </c>
      <c r="D109" s="17"/>
    </row>
    <row r="110" spans="2:4" outlineLevel="1" x14ac:dyDescent="0.2">
      <c r="B110" s="15" t="s">
        <v>533</v>
      </c>
      <c r="C110" s="15">
        <v>108.8</v>
      </c>
      <c r="D110" s="17"/>
    </row>
    <row r="111" spans="2:4" outlineLevel="1" x14ac:dyDescent="0.2">
      <c r="B111" s="15" t="s">
        <v>828</v>
      </c>
      <c r="C111" s="15">
        <v>26.35</v>
      </c>
      <c r="D111" s="17"/>
    </row>
    <row r="112" spans="2:4" outlineLevel="1" x14ac:dyDescent="0.2">
      <c r="B112" s="15" t="s">
        <v>617</v>
      </c>
      <c r="C112" s="15">
        <v>25.9</v>
      </c>
      <c r="D112" s="17"/>
    </row>
    <row r="113" spans="2:4" outlineLevel="1" x14ac:dyDescent="0.2">
      <c r="B113" s="15" t="s">
        <v>630</v>
      </c>
      <c r="C113" s="15">
        <v>23.15</v>
      </c>
      <c r="D113" s="17"/>
    </row>
    <row r="114" spans="2:4" outlineLevel="1" x14ac:dyDescent="0.2">
      <c r="B114" s="15" t="s">
        <v>829</v>
      </c>
      <c r="C114" s="15">
        <v>21.75</v>
      </c>
      <c r="D114" s="17"/>
    </row>
    <row r="115" spans="2:4" outlineLevel="1" x14ac:dyDescent="0.2">
      <c r="B115" s="15" t="s">
        <v>830</v>
      </c>
      <c r="C115" s="15">
        <v>18.649999999999999</v>
      </c>
      <c r="D115" s="17"/>
    </row>
    <row r="116" spans="2:4" outlineLevel="1" x14ac:dyDescent="0.2">
      <c r="B116" s="15" t="s">
        <v>831</v>
      </c>
      <c r="C116" s="15">
        <v>17.149999999999999</v>
      </c>
      <c r="D116" s="17"/>
    </row>
    <row r="117" spans="2:4" outlineLevel="1" x14ac:dyDescent="0.2">
      <c r="B117" s="15" t="s">
        <v>832</v>
      </c>
      <c r="C117" s="15">
        <v>16.75</v>
      </c>
      <c r="D117" s="17"/>
    </row>
    <row r="118" spans="2:4" outlineLevel="1" x14ac:dyDescent="0.2">
      <c r="B118" s="15" t="s">
        <v>833</v>
      </c>
      <c r="C118" s="15">
        <v>15.65</v>
      </c>
      <c r="D118" s="17"/>
    </row>
    <row r="119" spans="2:4" outlineLevel="1" x14ac:dyDescent="0.2"/>
    <row r="126" spans="2:4" x14ac:dyDescent="0.2">
      <c r="C126" s="3"/>
    </row>
    <row r="127" spans="2:4" outlineLevel="1" x14ac:dyDescent="0.2">
      <c r="C127" s="3"/>
    </row>
    <row r="128" spans="2:4" outlineLevel="1" x14ac:dyDescent="0.2">
      <c r="C128" s="3"/>
    </row>
    <row r="129" spans="3:4" outlineLevel="1" x14ac:dyDescent="0.2">
      <c r="C129" s="3"/>
    </row>
    <row r="130" spans="3:4" outlineLevel="1" x14ac:dyDescent="0.2">
      <c r="C130" s="29"/>
    </row>
    <row r="131" spans="3:4" outlineLevel="1" x14ac:dyDescent="0.2">
      <c r="C131" s="3"/>
    </row>
    <row r="132" spans="3:4" outlineLevel="1" x14ac:dyDescent="0.2">
      <c r="C132" s="29"/>
    </row>
    <row r="133" spans="3:4" outlineLevel="1" x14ac:dyDescent="0.2"/>
    <row r="134" spans="3:4" outlineLevel="1" x14ac:dyDescent="0.2">
      <c r="C134" s="30"/>
    </row>
    <row r="135" spans="3:4" outlineLevel="1" x14ac:dyDescent="0.2">
      <c r="C135" s="30"/>
    </row>
    <row r="136" spans="3:4" outlineLevel="1" x14ac:dyDescent="0.2">
      <c r="C136" s="30"/>
    </row>
    <row r="137" spans="3:4" outlineLevel="1" x14ac:dyDescent="0.2">
      <c r="C137" s="30"/>
    </row>
    <row r="138" spans="3:4" outlineLevel="1" x14ac:dyDescent="0.2">
      <c r="C138" s="30"/>
    </row>
    <row r="139" spans="3:4" outlineLevel="1" x14ac:dyDescent="0.2">
      <c r="C139" s="29"/>
      <c r="D139" s="2" t="s">
        <v>444</v>
      </c>
    </row>
    <row r="140" spans="3:4" outlineLevel="1" x14ac:dyDescent="0.2">
      <c r="C140" s="30"/>
    </row>
    <row r="141" spans="3:4" outlineLevel="1" x14ac:dyDescent="0.2"/>
    <row r="142" spans="3:4" outlineLevel="1" x14ac:dyDescent="0.2"/>
    <row r="143" spans="3:4" outlineLevel="1" x14ac:dyDescent="0.2"/>
    <row r="144" spans="3:4" outlineLevel="1" x14ac:dyDescent="0.2"/>
    <row r="145" spans="2:4" outlineLevel="1" x14ac:dyDescent="0.2"/>
    <row r="146" spans="2:4" outlineLevel="1" x14ac:dyDescent="0.2"/>
    <row r="147" spans="2:4" ht="15" outlineLevel="1" x14ac:dyDescent="0.25">
      <c r="B147" s="4" t="s">
        <v>837</v>
      </c>
    </row>
    <row r="148" spans="2:4" outlineLevel="1" x14ac:dyDescent="0.2">
      <c r="B148" s="2" t="s">
        <v>838</v>
      </c>
    </row>
    <row r="149" spans="2:4" outlineLevel="1" x14ac:dyDescent="0.2"/>
    <row r="150" spans="2:4" ht="15" outlineLevel="1" x14ac:dyDescent="0.25">
      <c r="B150" s="21" t="s">
        <v>22</v>
      </c>
      <c r="C150" s="21" t="s">
        <v>23</v>
      </c>
      <c r="D150" s="21" t="s">
        <v>846</v>
      </c>
    </row>
    <row r="151" spans="2:4" outlineLevel="1" x14ac:dyDescent="0.2">
      <c r="B151" s="15" t="s">
        <v>841</v>
      </c>
      <c r="C151" s="15">
        <v>79.56</v>
      </c>
      <c r="D151" s="17" t="str">
        <f>SUBSTITUTE(B151,"-","*")</f>
        <v>Jennie *Blackpink</v>
      </c>
    </row>
    <row r="152" spans="2:4" outlineLevel="1" x14ac:dyDescent="0.2">
      <c r="B152" s="15" t="s">
        <v>842</v>
      </c>
      <c r="C152" s="15">
        <v>73.58</v>
      </c>
      <c r="D152" s="17" t="str">
        <f t="shared" ref="D152:D157" si="3">SUBSTITUTE(B152,"-","*")</f>
        <v>Jisoo *Blackpink</v>
      </c>
    </row>
    <row r="153" spans="2:4" outlineLevel="1" x14ac:dyDescent="0.2">
      <c r="B153" s="15" t="s">
        <v>839</v>
      </c>
      <c r="C153" s="15">
        <v>73.510000000000005</v>
      </c>
      <c r="D153" s="17" t="str">
        <f t="shared" si="3"/>
        <v>BTS official</v>
      </c>
    </row>
    <row r="154" spans="2:4" outlineLevel="1" x14ac:dyDescent="0.2">
      <c r="B154" s="15" t="s">
        <v>843</v>
      </c>
      <c r="C154" s="15">
        <v>72.27</v>
      </c>
      <c r="D154" s="17" t="str">
        <f t="shared" si="3"/>
        <v>Rosé *Blackpink</v>
      </c>
    </row>
    <row r="155" spans="2:4" outlineLevel="1" x14ac:dyDescent="0.2">
      <c r="B155" s="15" t="s">
        <v>844</v>
      </c>
      <c r="C155" s="15">
        <v>59.67</v>
      </c>
      <c r="D155" s="17" t="str">
        <f t="shared" si="3"/>
        <v>V *BTS</v>
      </c>
    </row>
    <row r="156" spans="2:4" outlineLevel="1" x14ac:dyDescent="0.2">
      <c r="B156" s="15" t="s">
        <v>840</v>
      </c>
      <c r="C156" s="15">
        <v>55.76</v>
      </c>
      <c r="D156" s="17" t="str">
        <f t="shared" si="3"/>
        <v>Blackpink</v>
      </c>
    </row>
    <row r="157" spans="2:4" outlineLevel="1" x14ac:dyDescent="0.2">
      <c r="B157" s="15" t="s">
        <v>845</v>
      </c>
      <c r="C157" s="15">
        <v>50.19</v>
      </c>
      <c r="D157" s="17" t="str">
        <f t="shared" si="3"/>
        <v>Jimin *BTS</v>
      </c>
    </row>
    <row r="158" spans="2:4" outlineLevel="1" x14ac:dyDescent="0.2"/>
    <row r="159" spans="2:4" outlineLevel="1" x14ac:dyDescent="0.2"/>
    <row r="160" spans="2:4" outlineLevel="1" x14ac:dyDescent="0.2"/>
    <row r="161" spans="2:4" outlineLevel="1" x14ac:dyDescent="0.2"/>
    <row r="162" spans="2:4" outlineLevel="1" x14ac:dyDescent="0.2"/>
    <row r="163" spans="2:4" ht="15" outlineLevel="1" x14ac:dyDescent="0.25">
      <c r="B163" s="4" t="s">
        <v>851</v>
      </c>
    </row>
    <row r="164" spans="2:4" outlineLevel="1" x14ac:dyDescent="0.2">
      <c r="B164" s="2" t="s">
        <v>862</v>
      </c>
    </row>
    <row r="165" spans="2:4" outlineLevel="1" x14ac:dyDescent="0.2"/>
    <row r="166" spans="2:4" outlineLevel="1" x14ac:dyDescent="0.2"/>
    <row r="167" spans="2:4" outlineLevel="1" x14ac:dyDescent="0.2"/>
    <row r="168" spans="2:4" outlineLevel="1" x14ac:dyDescent="0.2"/>
    <row r="169" spans="2:4" ht="15" outlineLevel="1" x14ac:dyDescent="0.25">
      <c r="B169" s="21" t="s">
        <v>852</v>
      </c>
      <c r="C169" s="21" t="s">
        <v>835</v>
      </c>
      <c r="D169" s="21" t="s">
        <v>853</v>
      </c>
    </row>
    <row r="170" spans="2:4" outlineLevel="1" x14ac:dyDescent="0.2">
      <c r="B170" s="15" t="s">
        <v>854</v>
      </c>
      <c r="C170" s="48">
        <v>38011</v>
      </c>
      <c r="D170" s="17"/>
    </row>
    <row r="171" spans="2:4" outlineLevel="1" x14ac:dyDescent="0.2">
      <c r="B171" s="15" t="s">
        <v>855</v>
      </c>
      <c r="C171" s="48">
        <v>36238</v>
      </c>
      <c r="D171" s="17"/>
    </row>
    <row r="172" spans="2:4" outlineLevel="1" x14ac:dyDescent="0.2">
      <c r="B172" s="15" t="s">
        <v>856</v>
      </c>
      <c r="C172" s="48">
        <v>32934</v>
      </c>
      <c r="D172" s="17"/>
    </row>
    <row r="173" spans="2:4" outlineLevel="1" x14ac:dyDescent="0.2">
      <c r="B173" s="15" t="s">
        <v>847</v>
      </c>
      <c r="C173" s="48">
        <v>27149</v>
      </c>
      <c r="D173" s="17"/>
    </row>
    <row r="174" spans="2:4" outlineLevel="1" x14ac:dyDescent="0.2">
      <c r="B174" s="15" t="s">
        <v>848</v>
      </c>
      <c r="C174" s="48">
        <v>28101</v>
      </c>
      <c r="D174" s="17"/>
    </row>
    <row r="175" spans="2:4" outlineLevel="1" x14ac:dyDescent="0.2">
      <c r="B175" s="15" t="s">
        <v>857</v>
      </c>
      <c r="C175" s="48">
        <v>26999</v>
      </c>
      <c r="D175" s="17"/>
    </row>
    <row r="176" spans="2:4" outlineLevel="1" x14ac:dyDescent="0.2">
      <c r="B176" s="15" t="s">
        <v>849</v>
      </c>
      <c r="C176" s="48">
        <v>27584</v>
      </c>
      <c r="D176" s="17"/>
    </row>
    <row r="177" spans="2:4" outlineLevel="1" x14ac:dyDescent="0.2">
      <c r="B177" s="15" t="s">
        <v>858</v>
      </c>
      <c r="C177" s="48">
        <v>22957</v>
      </c>
      <c r="D177" s="17"/>
    </row>
    <row r="178" spans="2:4" outlineLevel="1" x14ac:dyDescent="0.2">
      <c r="B178" s="15" t="s">
        <v>850</v>
      </c>
      <c r="C178" s="48">
        <v>12910</v>
      </c>
      <c r="D178" s="17"/>
    </row>
    <row r="179" spans="2:4" outlineLevel="1" x14ac:dyDescent="0.2">
      <c r="B179" s="15" t="s">
        <v>859</v>
      </c>
      <c r="C179" s="48">
        <v>14967</v>
      </c>
      <c r="D179" s="17"/>
    </row>
    <row r="180" spans="2:4" outlineLevel="1" x14ac:dyDescent="0.2">
      <c r="B180" s="15" t="s">
        <v>860</v>
      </c>
      <c r="C180" s="48">
        <v>12571</v>
      </c>
      <c r="D180" s="17"/>
    </row>
    <row r="181" spans="2:4" outlineLevel="1" x14ac:dyDescent="0.2">
      <c r="B181" s="15" t="s">
        <v>861</v>
      </c>
      <c r="C181" s="48">
        <v>8224</v>
      </c>
      <c r="D181" s="17"/>
    </row>
    <row r="182" spans="2:4" outlineLevel="1" x14ac:dyDescent="0.2"/>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073AC-7C7B-4496-935F-F1AD8C3D39BC}">
  <dimension ref="B1:F168"/>
  <sheetViews>
    <sheetView showGridLines="0" zoomScale="90" zoomScaleNormal="90" workbookViewId="0">
      <pane ySplit="3" topLeftCell="A142" activePane="bottomLeft" state="frozen"/>
      <selection pane="bottomLeft" activeCell="E158" sqref="E158"/>
    </sheetView>
  </sheetViews>
  <sheetFormatPr baseColWidth="10" defaultColWidth="11.5" defaultRowHeight="14.25" outlineLevelRow="1" x14ac:dyDescent="0.2"/>
  <cols>
    <col min="1" max="1" width="1.5" style="2" customWidth="1"/>
    <col min="2" max="2" width="34.875" style="2" customWidth="1"/>
    <col min="3" max="3" width="17.75" style="2" bestFit="1" customWidth="1"/>
    <col min="4" max="4" width="15.5" style="2" bestFit="1" customWidth="1"/>
    <col min="5" max="5" width="22.125" style="2" bestFit="1" customWidth="1"/>
    <col min="6" max="6" width="25.125"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5" outlineLevel="1" x14ac:dyDescent="0.2"/>
    <row r="18" spans="2:5" outlineLevel="1" x14ac:dyDescent="0.2"/>
    <row r="19" spans="2:5" outlineLevel="1" x14ac:dyDescent="0.2"/>
    <row r="20" spans="2:5" ht="15" outlineLevel="1" x14ac:dyDescent="0.25">
      <c r="B20" s="4" t="s">
        <v>864</v>
      </c>
    </row>
    <row r="21" spans="2:5" outlineLevel="1" x14ac:dyDescent="0.2">
      <c r="B21" s="2" t="s">
        <v>865</v>
      </c>
    </row>
    <row r="22" spans="2:5" outlineLevel="1" x14ac:dyDescent="0.2"/>
    <row r="23" spans="2:5" ht="15" outlineLevel="1" x14ac:dyDescent="0.25">
      <c r="B23" s="21" t="s">
        <v>63</v>
      </c>
      <c r="C23" s="21" t="s">
        <v>863</v>
      </c>
      <c r="E23" s="21" t="s">
        <v>866</v>
      </c>
    </row>
    <row r="24" spans="2:5" outlineLevel="1" x14ac:dyDescent="0.2">
      <c r="B24" s="15">
        <v>2015</v>
      </c>
      <c r="C24" s="15">
        <v>321.37</v>
      </c>
      <c r="E24" s="17">
        <f>COUNT(B24:B33)</f>
        <v>10</v>
      </c>
    </row>
    <row r="25" spans="2:5" outlineLevel="1" x14ac:dyDescent="0.2">
      <c r="B25" s="15">
        <v>2020</v>
      </c>
      <c r="C25" s="15">
        <v>334.5</v>
      </c>
    </row>
    <row r="26" spans="2:5" outlineLevel="1" x14ac:dyDescent="0.2">
      <c r="B26" s="15">
        <v>2025</v>
      </c>
      <c r="C26" s="15">
        <v>347.34</v>
      </c>
    </row>
    <row r="27" spans="2:5" outlineLevel="1" x14ac:dyDescent="0.2">
      <c r="B27" s="15">
        <v>2030</v>
      </c>
      <c r="C27" s="15">
        <v>359.4</v>
      </c>
    </row>
    <row r="28" spans="2:5" outlineLevel="1" x14ac:dyDescent="0.2">
      <c r="B28" s="15">
        <v>2035</v>
      </c>
      <c r="C28" s="15">
        <v>370.34</v>
      </c>
    </row>
    <row r="29" spans="2:5" outlineLevel="1" x14ac:dyDescent="0.2">
      <c r="B29" s="15">
        <v>2040</v>
      </c>
      <c r="C29" s="15">
        <v>380.22</v>
      </c>
    </row>
    <row r="30" spans="2:5" outlineLevel="1" x14ac:dyDescent="0.2">
      <c r="B30" s="15">
        <v>2045</v>
      </c>
      <c r="C30" s="15">
        <v>389.39</v>
      </c>
    </row>
    <row r="31" spans="2:5" outlineLevel="1" x14ac:dyDescent="0.2">
      <c r="B31" s="15">
        <v>2050</v>
      </c>
      <c r="C31" s="15">
        <v>398.33</v>
      </c>
    </row>
    <row r="32" spans="2:5" outlineLevel="1" x14ac:dyDescent="0.2">
      <c r="B32" s="15">
        <v>2055</v>
      </c>
      <c r="C32" s="15">
        <v>407.41</v>
      </c>
    </row>
    <row r="33" spans="2:5" outlineLevel="1" x14ac:dyDescent="0.2">
      <c r="B33" s="15">
        <v>2060</v>
      </c>
      <c r="C33" s="15">
        <v>416.8</v>
      </c>
    </row>
    <row r="34" spans="2:5" outlineLevel="1" x14ac:dyDescent="0.2"/>
    <row r="35" spans="2:5" outlineLevel="1" x14ac:dyDescent="0.2"/>
    <row r="36" spans="2:5" outlineLevel="1" x14ac:dyDescent="0.2"/>
    <row r="37" spans="2:5" ht="15" outlineLevel="1" x14ac:dyDescent="0.25">
      <c r="B37" s="4" t="s">
        <v>371</v>
      </c>
    </row>
    <row r="38" spans="2:5" outlineLevel="1" x14ac:dyDescent="0.2">
      <c r="B38" s="2" t="s">
        <v>372</v>
      </c>
    </row>
    <row r="39" spans="2:5" outlineLevel="1" x14ac:dyDescent="0.2"/>
    <row r="40" spans="2:5" outlineLevel="1" x14ac:dyDescent="0.2"/>
    <row r="41" spans="2:5" outlineLevel="1" x14ac:dyDescent="0.2"/>
    <row r="42" spans="2:5" outlineLevel="1" x14ac:dyDescent="0.2"/>
    <row r="43" spans="2:5" ht="15" outlineLevel="1" x14ac:dyDescent="0.25">
      <c r="B43" s="21" t="s">
        <v>877</v>
      </c>
      <c r="C43" s="21" t="s">
        <v>878</v>
      </c>
      <c r="E43" s="21" t="s">
        <v>879</v>
      </c>
    </row>
    <row r="44" spans="2:5" outlineLevel="1" x14ac:dyDescent="0.2">
      <c r="B44" s="15" t="s">
        <v>867</v>
      </c>
      <c r="C44" s="49">
        <v>1.1200000000000001</v>
      </c>
      <c r="E44" s="120">
        <f>COUNT(C44:C53)</f>
        <v>10</v>
      </c>
    </row>
    <row r="45" spans="2:5" outlineLevel="1" x14ac:dyDescent="0.2">
      <c r="B45" s="15" t="s">
        <v>868</v>
      </c>
      <c r="C45" s="49">
        <v>0.87</v>
      </c>
    </row>
    <row r="46" spans="2:5" outlineLevel="1" x14ac:dyDescent="0.2">
      <c r="B46" s="15" t="s">
        <v>869</v>
      </c>
      <c r="C46" s="49">
        <v>0.79</v>
      </c>
    </row>
    <row r="47" spans="2:5" outlineLevel="1" x14ac:dyDescent="0.2">
      <c r="B47" s="15" t="s">
        <v>870</v>
      </c>
      <c r="C47" s="49">
        <v>0.76</v>
      </c>
    </row>
    <row r="48" spans="2:5" outlineLevel="1" x14ac:dyDescent="0.2">
      <c r="B48" s="15" t="s">
        <v>871</v>
      </c>
      <c r="C48" s="49">
        <v>0.68</v>
      </c>
    </row>
    <row r="49" spans="2:3" outlineLevel="1" x14ac:dyDescent="0.2">
      <c r="B49" s="15" t="s">
        <v>872</v>
      </c>
      <c r="C49" s="49">
        <v>0.6</v>
      </c>
    </row>
    <row r="50" spans="2:3" outlineLevel="1" x14ac:dyDescent="0.2">
      <c r="B50" s="15" t="s">
        <v>873</v>
      </c>
      <c r="C50" s="49">
        <v>0.59</v>
      </c>
    </row>
    <row r="51" spans="2:3" outlineLevel="1" x14ac:dyDescent="0.2">
      <c r="B51" s="15" t="s">
        <v>874</v>
      </c>
      <c r="C51" s="49">
        <v>0.56999999999999995</v>
      </c>
    </row>
    <row r="52" spans="2:3" outlineLevel="1" x14ac:dyDescent="0.2">
      <c r="B52" s="15" t="s">
        <v>875</v>
      </c>
      <c r="C52" s="49">
        <v>0.56000000000000005</v>
      </c>
    </row>
    <row r="53" spans="2:3" outlineLevel="1" x14ac:dyDescent="0.2">
      <c r="B53" s="15" t="s">
        <v>876</v>
      </c>
      <c r="C53" s="49">
        <v>0.55000000000000004</v>
      </c>
    </row>
    <row r="61" spans="2:3" outlineLevel="1" x14ac:dyDescent="0.2"/>
    <row r="62" spans="2:3" outlineLevel="1" x14ac:dyDescent="0.2"/>
    <row r="63" spans="2:3" outlineLevel="1" x14ac:dyDescent="0.2"/>
    <row r="64" spans="2:3" outlineLevel="1" x14ac:dyDescent="0.2"/>
    <row r="65" spans="2:2" outlineLevel="1" x14ac:dyDescent="0.2"/>
    <row r="66" spans="2:2" outlineLevel="1" x14ac:dyDescent="0.2"/>
    <row r="67" spans="2:2" outlineLevel="1" x14ac:dyDescent="0.2"/>
    <row r="68" spans="2:2" outlineLevel="1" x14ac:dyDescent="0.2"/>
    <row r="69" spans="2:2" outlineLevel="1" x14ac:dyDescent="0.2"/>
    <row r="70" spans="2:2" outlineLevel="1" x14ac:dyDescent="0.2"/>
    <row r="71" spans="2:2" outlineLevel="1" x14ac:dyDescent="0.2"/>
    <row r="72" spans="2:2" outlineLevel="1" x14ac:dyDescent="0.2"/>
    <row r="73" spans="2:2" outlineLevel="1" x14ac:dyDescent="0.2"/>
    <row r="74" spans="2:2" outlineLevel="1" x14ac:dyDescent="0.2"/>
    <row r="75" spans="2:2" outlineLevel="1" x14ac:dyDescent="0.2"/>
    <row r="76" spans="2:2" outlineLevel="1" x14ac:dyDescent="0.2"/>
    <row r="77" spans="2:2" outlineLevel="1" x14ac:dyDescent="0.2"/>
    <row r="78" spans="2:2" outlineLevel="1" x14ac:dyDescent="0.2"/>
    <row r="79" spans="2:2" outlineLevel="1" x14ac:dyDescent="0.2"/>
    <row r="80" spans="2:2" ht="15" outlineLevel="1" x14ac:dyDescent="0.25">
      <c r="B80" s="4" t="s">
        <v>880</v>
      </c>
    </row>
    <row r="81" spans="2:5" outlineLevel="1" x14ac:dyDescent="0.2">
      <c r="B81" s="2" t="s">
        <v>887</v>
      </c>
    </row>
    <row r="82" spans="2:5" outlineLevel="1" x14ac:dyDescent="0.2"/>
    <row r="83" spans="2:5" ht="15" outlineLevel="1" x14ac:dyDescent="0.25">
      <c r="B83" s="21" t="s">
        <v>886</v>
      </c>
      <c r="C83" s="21" t="s">
        <v>550</v>
      </c>
      <c r="E83" s="21" t="s">
        <v>888</v>
      </c>
    </row>
    <row r="84" spans="2:5" outlineLevel="1" x14ac:dyDescent="0.2">
      <c r="B84" s="15" t="s">
        <v>365</v>
      </c>
      <c r="C84" s="15">
        <v>26.9</v>
      </c>
      <c r="E84" s="17">
        <f>COUNTA(B84:B92)</f>
        <v>9</v>
      </c>
    </row>
    <row r="85" spans="2:5" outlineLevel="1" x14ac:dyDescent="0.2">
      <c r="B85" s="15" t="s">
        <v>354</v>
      </c>
      <c r="C85" s="15">
        <v>20.9</v>
      </c>
    </row>
    <row r="86" spans="2:5" outlineLevel="1" x14ac:dyDescent="0.2">
      <c r="B86" s="15" t="s">
        <v>881</v>
      </c>
      <c r="C86" s="15">
        <v>11.3</v>
      </c>
    </row>
    <row r="87" spans="2:5" outlineLevel="1" x14ac:dyDescent="0.2">
      <c r="B87" s="15" t="s">
        <v>882</v>
      </c>
      <c r="C87" s="15">
        <v>11.1</v>
      </c>
    </row>
    <row r="88" spans="2:5" outlineLevel="1" x14ac:dyDescent="0.2">
      <c r="B88" s="15" t="s">
        <v>883</v>
      </c>
      <c r="C88" s="15">
        <v>7.9</v>
      </c>
    </row>
    <row r="89" spans="2:5" outlineLevel="1" x14ac:dyDescent="0.2">
      <c r="B89" s="15" t="s">
        <v>884</v>
      </c>
      <c r="C89" s="15">
        <v>7.8</v>
      </c>
    </row>
    <row r="90" spans="2:5" outlineLevel="1" x14ac:dyDescent="0.2">
      <c r="B90" s="15" t="s">
        <v>341</v>
      </c>
      <c r="C90" s="15">
        <v>5.8</v>
      </c>
    </row>
    <row r="91" spans="2:5" outlineLevel="1" x14ac:dyDescent="0.2">
      <c r="B91" s="15" t="s">
        <v>885</v>
      </c>
      <c r="C91" s="15">
        <v>3.7</v>
      </c>
    </row>
    <row r="92" spans="2:5" outlineLevel="1" x14ac:dyDescent="0.2">
      <c r="B92" s="15" t="s">
        <v>767</v>
      </c>
      <c r="C92" s="15">
        <v>4.5999999999999996</v>
      </c>
    </row>
    <row r="93" spans="2:5" outlineLevel="1" x14ac:dyDescent="0.2"/>
    <row r="94" spans="2:5" outlineLevel="1" x14ac:dyDescent="0.2"/>
    <row r="95" spans="2:5" outlineLevel="1" x14ac:dyDescent="0.2"/>
    <row r="96" spans="2:5" ht="15" outlineLevel="1" x14ac:dyDescent="0.25">
      <c r="B96" s="4" t="s">
        <v>889</v>
      </c>
    </row>
    <row r="97" spans="2:5" outlineLevel="1" x14ac:dyDescent="0.2">
      <c r="B97" s="2" t="s">
        <v>890</v>
      </c>
    </row>
    <row r="98" spans="2:5" outlineLevel="1" x14ac:dyDescent="0.2"/>
    <row r="99" spans="2:5" outlineLevel="1" x14ac:dyDescent="0.2"/>
    <row r="100" spans="2:5" outlineLevel="1" x14ac:dyDescent="0.2"/>
    <row r="101" spans="2:5" outlineLevel="1" x14ac:dyDescent="0.2"/>
    <row r="102" spans="2:5" ht="15" outlineLevel="1" x14ac:dyDescent="0.25">
      <c r="B102" s="21" t="s">
        <v>326</v>
      </c>
      <c r="C102" s="21" t="s">
        <v>399</v>
      </c>
      <c r="E102" s="21" t="s">
        <v>896</v>
      </c>
    </row>
    <row r="103" spans="2:5" outlineLevel="1" x14ac:dyDescent="0.2">
      <c r="B103" s="15" t="s">
        <v>573</v>
      </c>
      <c r="C103" s="15">
        <v>299.27999999999997</v>
      </c>
      <c r="E103" s="17">
        <f>COUNTA(B103:B112)</f>
        <v>10</v>
      </c>
    </row>
    <row r="104" spans="2:5" outlineLevel="1" x14ac:dyDescent="0.2">
      <c r="B104" s="15" t="s">
        <v>307</v>
      </c>
      <c r="C104" s="15">
        <v>297.51</v>
      </c>
    </row>
    <row r="105" spans="2:5" outlineLevel="1" x14ac:dyDescent="0.2">
      <c r="B105" s="15" t="s">
        <v>891</v>
      </c>
      <c r="C105" s="15">
        <v>281.38</v>
      </c>
    </row>
    <row r="106" spans="2:5" outlineLevel="1" x14ac:dyDescent="0.2">
      <c r="B106" s="15" t="s">
        <v>424</v>
      </c>
      <c r="C106" s="15">
        <v>191.57</v>
      </c>
    </row>
    <row r="107" spans="2:5" x14ac:dyDescent="0.2">
      <c r="B107" s="15" t="s">
        <v>611</v>
      </c>
      <c r="C107" s="15">
        <v>113.78</v>
      </c>
    </row>
    <row r="108" spans="2:5" x14ac:dyDescent="0.2">
      <c r="B108" s="15" t="s">
        <v>892</v>
      </c>
      <c r="C108" s="15">
        <v>99.66</v>
      </c>
    </row>
    <row r="109" spans="2:5" x14ac:dyDescent="0.2">
      <c r="B109" s="15" t="s">
        <v>893</v>
      </c>
      <c r="C109" s="15">
        <v>69.55</v>
      </c>
    </row>
    <row r="110" spans="2:5" x14ac:dyDescent="0.2">
      <c r="B110" s="15" t="s">
        <v>894</v>
      </c>
      <c r="C110" s="15">
        <v>67.44</v>
      </c>
    </row>
    <row r="111" spans="2:5" x14ac:dyDescent="0.2">
      <c r="B111" s="15" t="s">
        <v>592</v>
      </c>
      <c r="C111" s="15">
        <v>66.209999999999994</v>
      </c>
    </row>
    <row r="112" spans="2:5" x14ac:dyDescent="0.2">
      <c r="B112" s="15" t="s">
        <v>895</v>
      </c>
      <c r="C112" s="15">
        <v>65.67</v>
      </c>
    </row>
    <row r="113" spans="3:4" x14ac:dyDescent="0.2">
      <c r="C113" s="3"/>
    </row>
    <row r="114" spans="3:4" outlineLevel="1" x14ac:dyDescent="0.2">
      <c r="C114" s="3"/>
    </row>
    <row r="115" spans="3:4" outlineLevel="1" x14ac:dyDescent="0.2">
      <c r="C115" s="3"/>
    </row>
    <row r="116" spans="3:4" outlineLevel="1" x14ac:dyDescent="0.2">
      <c r="C116" s="3"/>
    </row>
    <row r="117" spans="3:4" outlineLevel="1" x14ac:dyDescent="0.2">
      <c r="C117" s="29"/>
    </row>
    <row r="118" spans="3:4" outlineLevel="1" x14ac:dyDescent="0.2">
      <c r="C118" s="3"/>
    </row>
    <row r="119" spans="3:4" outlineLevel="1" x14ac:dyDescent="0.2">
      <c r="C119" s="29"/>
    </row>
    <row r="120" spans="3:4" outlineLevel="1" x14ac:dyDescent="0.2"/>
    <row r="121" spans="3:4" outlineLevel="1" x14ac:dyDescent="0.2">
      <c r="C121" s="30"/>
    </row>
    <row r="122" spans="3:4" outlineLevel="1" x14ac:dyDescent="0.2">
      <c r="C122" s="30"/>
    </row>
    <row r="123" spans="3:4" outlineLevel="1" x14ac:dyDescent="0.2">
      <c r="C123" s="30"/>
    </row>
    <row r="124" spans="3:4" outlineLevel="1" x14ac:dyDescent="0.2">
      <c r="C124" s="30"/>
    </row>
    <row r="125" spans="3:4" outlineLevel="1" x14ac:dyDescent="0.2">
      <c r="C125" s="30"/>
    </row>
    <row r="126" spans="3:4" outlineLevel="1" x14ac:dyDescent="0.2">
      <c r="C126" s="29"/>
      <c r="D126" s="2" t="s">
        <v>444</v>
      </c>
    </row>
    <row r="127" spans="3:4" outlineLevel="1" x14ac:dyDescent="0.2">
      <c r="C127" s="30"/>
    </row>
    <row r="128" spans="3:4" outlineLevel="1" x14ac:dyDescent="0.2"/>
    <row r="129" spans="2:6" outlineLevel="1" x14ac:dyDescent="0.2"/>
    <row r="130" spans="2:6" outlineLevel="1" x14ac:dyDescent="0.2"/>
    <row r="131" spans="2:6" outlineLevel="1" x14ac:dyDescent="0.2"/>
    <row r="132" spans="2:6" outlineLevel="1" x14ac:dyDescent="0.2"/>
    <row r="133" spans="2:6" outlineLevel="1" x14ac:dyDescent="0.2"/>
    <row r="134" spans="2:6" ht="15" outlineLevel="1" x14ac:dyDescent="0.25">
      <c r="B134" s="4" t="s">
        <v>897</v>
      </c>
    </row>
    <row r="135" spans="2:6" outlineLevel="1" x14ac:dyDescent="0.2">
      <c r="B135" s="2" t="s">
        <v>898</v>
      </c>
    </row>
    <row r="136" spans="2:6" outlineLevel="1" x14ac:dyDescent="0.2"/>
    <row r="137" spans="2:6" ht="15" outlineLevel="1" x14ac:dyDescent="0.25">
      <c r="B137" s="38" t="s">
        <v>681</v>
      </c>
      <c r="C137" s="38" t="s">
        <v>899</v>
      </c>
      <c r="D137" s="38" t="s">
        <v>900</v>
      </c>
      <c r="F137" s="21" t="s">
        <v>910</v>
      </c>
    </row>
    <row r="138" spans="2:6" outlineLevel="1" x14ac:dyDescent="0.2">
      <c r="B138" s="2" t="s">
        <v>901</v>
      </c>
      <c r="C138" s="2">
        <v>200</v>
      </c>
      <c r="D138" s="2">
        <v>60</v>
      </c>
      <c r="F138" s="17">
        <f>COUNTBLANK(B138:B147)</f>
        <v>1</v>
      </c>
    </row>
    <row r="139" spans="2:6" outlineLevel="1" x14ac:dyDescent="0.2">
      <c r="B139" s="2" t="s">
        <v>902</v>
      </c>
      <c r="C139" s="2">
        <v>110</v>
      </c>
      <c r="D139" s="2">
        <v>18</v>
      </c>
    </row>
    <row r="140" spans="2:6" outlineLevel="1" x14ac:dyDescent="0.2">
      <c r="B140" s="2" t="s">
        <v>903</v>
      </c>
      <c r="C140" s="2">
        <v>65</v>
      </c>
      <c r="D140" s="2">
        <v>55</v>
      </c>
    </row>
    <row r="141" spans="2:6" outlineLevel="1" x14ac:dyDescent="0.2">
      <c r="B141" s="2" t="s">
        <v>904</v>
      </c>
      <c r="C141" s="2">
        <v>55</v>
      </c>
      <c r="D141" s="2">
        <v>32</v>
      </c>
    </row>
    <row r="142" spans="2:6" outlineLevel="1" x14ac:dyDescent="0.2">
      <c r="B142" s="2" t="s">
        <v>905</v>
      </c>
      <c r="C142" s="2">
        <v>35</v>
      </c>
      <c r="D142" s="2">
        <v>18</v>
      </c>
    </row>
    <row r="143" spans="2:6" outlineLevel="1" x14ac:dyDescent="0.2">
      <c r="B143" s="2" t="s">
        <v>906</v>
      </c>
      <c r="C143" s="2">
        <v>35</v>
      </c>
      <c r="D143" s="2">
        <v>4</v>
      </c>
    </row>
    <row r="144" spans="2:6" outlineLevel="1" x14ac:dyDescent="0.2">
      <c r="B144" s="2" t="s">
        <v>907</v>
      </c>
      <c r="C144" s="2">
        <v>27</v>
      </c>
      <c r="D144" s="2">
        <v>8</v>
      </c>
    </row>
    <row r="145" spans="2:5" outlineLevel="1" x14ac:dyDescent="0.2">
      <c r="C145" s="2">
        <v>27</v>
      </c>
      <c r="D145" s="2">
        <v>4</v>
      </c>
    </row>
    <row r="146" spans="2:5" outlineLevel="1" x14ac:dyDescent="0.2">
      <c r="B146" s="2" t="s">
        <v>908</v>
      </c>
      <c r="C146" s="2">
        <v>25</v>
      </c>
      <c r="D146" s="2">
        <v>5</v>
      </c>
    </row>
    <row r="147" spans="2:5" outlineLevel="1" x14ac:dyDescent="0.2">
      <c r="B147" s="2" t="s">
        <v>909</v>
      </c>
      <c r="C147" s="2">
        <v>25</v>
      </c>
      <c r="D147" s="2">
        <v>4</v>
      </c>
    </row>
    <row r="148" spans="2:5" outlineLevel="1" x14ac:dyDescent="0.2"/>
    <row r="149" spans="2:5" outlineLevel="1" x14ac:dyDescent="0.2"/>
    <row r="150" spans="2:5" outlineLevel="1" x14ac:dyDescent="0.2"/>
    <row r="151" spans="2:5" ht="15" outlineLevel="1" x14ac:dyDescent="0.25">
      <c r="B151" s="4" t="s">
        <v>920</v>
      </c>
    </row>
    <row r="152" spans="2:5" outlineLevel="1" x14ac:dyDescent="0.2">
      <c r="B152" s="2" t="s">
        <v>921</v>
      </c>
    </row>
    <row r="153" spans="2:5" outlineLevel="1" x14ac:dyDescent="0.2"/>
    <row r="154" spans="2:5" outlineLevel="1" x14ac:dyDescent="0.2"/>
    <row r="155" spans="2:5" outlineLevel="1" x14ac:dyDescent="0.2"/>
    <row r="156" spans="2:5" outlineLevel="1" x14ac:dyDescent="0.2"/>
    <row r="157" spans="2:5" ht="15" outlineLevel="1" x14ac:dyDescent="0.25">
      <c r="B157" s="21" t="s">
        <v>326</v>
      </c>
      <c r="C157" s="21" t="s">
        <v>550</v>
      </c>
      <c r="E157" s="21" t="s">
        <v>922</v>
      </c>
    </row>
    <row r="158" spans="2:5" outlineLevel="1" x14ac:dyDescent="0.2">
      <c r="B158" s="15" t="s">
        <v>911</v>
      </c>
      <c r="C158" s="15">
        <v>1295.8599999999999</v>
      </c>
      <c r="E158" s="17">
        <f>COUNTBLANK(B158:B168)</f>
        <v>2</v>
      </c>
    </row>
    <row r="159" spans="2:5" outlineLevel="1" x14ac:dyDescent="0.2">
      <c r="B159" s="15" t="s">
        <v>912</v>
      </c>
      <c r="C159" s="15">
        <v>910.68</v>
      </c>
    </row>
    <row r="160" spans="2:5" outlineLevel="1" x14ac:dyDescent="0.2">
      <c r="B160" s="15" t="s">
        <v>913</v>
      </c>
      <c r="C160" s="15">
        <v>785.14</v>
      </c>
    </row>
    <row r="161" spans="2:3" outlineLevel="1" x14ac:dyDescent="0.2">
      <c r="B161" s="15" t="s">
        <v>914</v>
      </c>
      <c r="C161" s="15">
        <v>657.39</v>
      </c>
    </row>
    <row r="162" spans="2:3" outlineLevel="1" x14ac:dyDescent="0.2">
      <c r="B162" s="15" t="s">
        <v>915</v>
      </c>
      <c r="C162" s="15">
        <v>498.43</v>
      </c>
    </row>
    <row r="163" spans="2:3" outlineLevel="1" x14ac:dyDescent="0.2">
      <c r="B163" s="15" t="s">
        <v>916</v>
      </c>
      <c r="C163" s="15">
        <v>372.23</v>
      </c>
    </row>
    <row r="164" spans="2:3" x14ac:dyDescent="0.2">
      <c r="B164" s="15" t="s">
        <v>917</v>
      </c>
      <c r="C164" s="15">
        <v>273.20999999999998</v>
      </c>
    </row>
    <row r="165" spans="2:3" x14ac:dyDescent="0.2">
      <c r="B165" s="15" t="s">
        <v>918</v>
      </c>
      <c r="C165" s="15">
        <v>251.41</v>
      </c>
    </row>
    <row r="166" spans="2:3" x14ac:dyDescent="0.2">
      <c r="B166" s="15"/>
      <c r="C166" s="15">
        <v>203.09</v>
      </c>
    </row>
    <row r="167" spans="2:3" x14ac:dyDescent="0.2">
      <c r="B167" s="15" t="s">
        <v>919</v>
      </c>
      <c r="C167" s="15">
        <v>154.16999999999999</v>
      </c>
    </row>
    <row r="168" spans="2:3" x14ac:dyDescent="0.2">
      <c r="B168" s="15"/>
      <c r="C168" s="15">
        <v>118.61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B82E-5A04-43F4-9E61-6D8B5BF6B026}">
  <dimension ref="B1:I195"/>
  <sheetViews>
    <sheetView showGridLines="0" zoomScale="110" zoomScaleNormal="90" workbookViewId="0">
      <pane ySplit="3" topLeftCell="A99" activePane="bottomLeft" state="frozen"/>
      <selection pane="bottomLeft" activeCell="I108" sqref="I108"/>
    </sheetView>
  </sheetViews>
  <sheetFormatPr baseColWidth="10" defaultColWidth="11.5" defaultRowHeight="14.25" outlineLevelRow="1" x14ac:dyDescent="0.2"/>
  <cols>
    <col min="1" max="1" width="1.5" style="2" customWidth="1"/>
    <col min="2" max="2" width="19.5" style="2" customWidth="1"/>
    <col min="3" max="3" width="33" style="2" bestFit="1" customWidth="1"/>
    <col min="4" max="4" width="17.5" style="2" bestFit="1" customWidth="1"/>
    <col min="5" max="5" width="13.25" style="2" bestFit="1" customWidth="1"/>
    <col min="6" max="6" width="9.75" style="2" bestFit="1" customWidth="1"/>
    <col min="7" max="7" width="21.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8" outlineLevel="1" x14ac:dyDescent="0.2"/>
    <row r="18" spans="2:8" outlineLevel="1" x14ac:dyDescent="0.2"/>
    <row r="19" spans="2:8" outlineLevel="1" x14ac:dyDescent="0.2"/>
    <row r="20" spans="2:8" ht="15" outlineLevel="1" x14ac:dyDescent="0.25">
      <c r="B20" s="4" t="s">
        <v>723</v>
      </c>
      <c r="H20" s="21" t="s">
        <v>715</v>
      </c>
    </row>
    <row r="21" spans="2:8" outlineLevel="1" x14ac:dyDescent="0.2">
      <c r="B21" s="2" t="s">
        <v>724</v>
      </c>
      <c r="H21" s="15" t="s">
        <v>720</v>
      </c>
    </row>
    <row r="22" spans="2:8" outlineLevel="1" x14ac:dyDescent="0.2"/>
    <row r="23" spans="2:8" customFormat="1" ht="15" outlineLevel="1" x14ac:dyDescent="0.25">
      <c r="B23" s="21" t="s">
        <v>712</v>
      </c>
      <c r="C23" s="21" t="s">
        <v>713</v>
      </c>
      <c r="D23" s="21" t="s">
        <v>714</v>
      </c>
      <c r="E23" s="21" t="s">
        <v>715</v>
      </c>
      <c r="G23" s="21" t="s">
        <v>1004</v>
      </c>
    </row>
    <row r="24" spans="2:8" customFormat="1" outlineLevel="1" x14ac:dyDescent="0.2">
      <c r="B24" s="15" t="s">
        <v>716</v>
      </c>
      <c r="C24" s="47">
        <v>41587</v>
      </c>
      <c r="D24" s="47">
        <v>41590</v>
      </c>
      <c r="E24" s="15" t="s">
        <v>717</v>
      </c>
      <c r="G24" s="17">
        <f>COUNTIF(E24:E33,H21)</f>
        <v>7</v>
      </c>
    </row>
    <row r="25" spans="2:8" customFormat="1" outlineLevel="1" x14ac:dyDescent="0.2">
      <c r="B25" s="15" t="s">
        <v>716</v>
      </c>
      <c r="C25" s="47">
        <v>41587</v>
      </c>
      <c r="D25" s="47">
        <v>41590</v>
      </c>
      <c r="E25" s="15" t="s">
        <v>717</v>
      </c>
    </row>
    <row r="26" spans="2:8" customFormat="1" outlineLevel="1" x14ac:dyDescent="0.2">
      <c r="B26" s="15" t="s">
        <v>718</v>
      </c>
      <c r="C26" s="47">
        <v>41438</v>
      </c>
      <c r="D26" s="47">
        <v>41442</v>
      </c>
      <c r="E26" s="15" t="s">
        <v>717</v>
      </c>
    </row>
    <row r="27" spans="2:8" customFormat="1" outlineLevel="1" x14ac:dyDescent="0.2">
      <c r="B27" s="15" t="s">
        <v>719</v>
      </c>
      <c r="C27" s="47">
        <v>41193</v>
      </c>
      <c r="D27" s="47">
        <v>41200</v>
      </c>
      <c r="E27" s="15" t="s">
        <v>720</v>
      </c>
    </row>
    <row r="28" spans="2:8" customFormat="1" outlineLevel="1" x14ac:dyDescent="0.2">
      <c r="B28" s="15" t="s">
        <v>719</v>
      </c>
      <c r="C28" s="47">
        <v>41193</v>
      </c>
      <c r="D28" s="47">
        <v>41200</v>
      </c>
      <c r="E28" s="15" t="s">
        <v>720</v>
      </c>
    </row>
    <row r="29" spans="2:8" customFormat="1" outlineLevel="1" x14ac:dyDescent="0.2">
      <c r="B29" s="15" t="s">
        <v>721</v>
      </c>
      <c r="C29" s="47">
        <v>40703</v>
      </c>
      <c r="D29" s="47">
        <v>40708</v>
      </c>
      <c r="E29" s="15" t="s">
        <v>720</v>
      </c>
    </row>
    <row r="30" spans="2:8" customFormat="1" outlineLevel="1" x14ac:dyDescent="0.2">
      <c r="B30" s="15" t="s">
        <v>721</v>
      </c>
      <c r="C30" s="47">
        <v>40703</v>
      </c>
      <c r="D30" s="47">
        <v>40708</v>
      </c>
      <c r="E30" s="15" t="s">
        <v>720</v>
      </c>
    </row>
    <row r="31" spans="2:8" customFormat="1" outlineLevel="1" x14ac:dyDescent="0.2">
      <c r="B31" s="15" t="s">
        <v>721</v>
      </c>
      <c r="C31" s="47">
        <v>40703</v>
      </c>
      <c r="D31" s="47">
        <v>40708</v>
      </c>
      <c r="E31" s="15" t="s">
        <v>720</v>
      </c>
    </row>
    <row r="32" spans="2:8" customFormat="1" outlineLevel="1" x14ac:dyDescent="0.2">
      <c r="B32" s="15" t="s">
        <v>721</v>
      </c>
      <c r="C32" s="47">
        <v>40703</v>
      </c>
      <c r="D32" s="47">
        <v>40708</v>
      </c>
      <c r="E32" s="15" t="s">
        <v>720</v>
      </c>
    </row>
    <row r="33" spans="2:7" customFormat="1" outlineLevel="1" x14ac:dyDescent="0.2">
      <c r="B33" s="15" t="s">
        <v>721</v>
      </c>
      <c r="C33" s="47">
        <v>40703</v>
      </c>
      <c r="D33" s="47">
        <v>40708</v>
      </c>
      <c r="E33" s="15" t="s">
        <v>720</v>
      </c>
    </row>
    <row r="34" spans="2:7" customFormat="1" outlineLevel="1" x14ac:dyDescent="0.2"/>
    <row r="35" spans="2:7" outlineLevel="1" x14ac:dyDescent="0.2"/>
    <row r="36" spans="2:7" outlineLevel="1" x14ac:dyDescent="0.2"/>
    <row r="37" spans="2:7" outlineLevel="1" x14ac:dyDescent="0.2"/>
    <row r="38" spans="2:7" ht="15" outlineLevel="1" x14ac:dyDescent="0.25">
      <c r="B38" s="4" t="s">
        <v>371</v>
      </c>
    </row>
    <row r="39" spans="2:7" outlineLevel="1" x14ac:dyDescent="0.2">
      <c r="B39" s="2" t="s">
        <v>372</v>
      </c>
    </row>
    <row r="40" spans="2:7" outlineLevel="1" x14ac:dyDescent="0.2"/>
    <row r="41" spans="2:7" outlineLevel="1" x14ac:dyDescent="0.2"/>
    <row r="42" spans="2:7" outlineLevel="1" x14ac:dyDescent="0.2"/>
    <row r="43" spans="2:7" outlineLevel="1" x14ac:dyDescent="0.2"/>
    <row r="44" spans="2:7" customFormat="1" ht="15" outlineLevel="1" x14ac:dyDescent="0.25">
      <c r="B44" s="21" t="s">
        <v>330</v>
      </c>
      <c r="C44" s="21" t="s">
        <v>331</v>
      </c>
      <c r="D44" s="21" t="s">
        <v>834</v>
      </c>
      <c r="G44" s="21" t="s">
        <v>1008</v>
      </c>
    </row>
    <row r="45" spans="2:7" customFormat="1" outlineLevel="1" x14ac:dyDescent="0.2">
      <c r="B45" s="15">
        <v>1</v>
      </c>
      <c r="C45" s="15" t="s">
        <v>629</v>
      </c>
      <c r="D45" s="15" t="s">
        <v>1005</v>
      </c>
      <c r="G45" s="17">
        <f>COUNTIF(D45:D54,"us")</f>
        <v>6</v>
      </c>
    </row>
    <row r="46" spans="2:7" customFormat="1" outlineLevel="1" x14ac:dyDescent="0.2">
      <c r="B46" s="15">
        <v>2</v>
      </c>
      <c r="C46" s="15" t="s">
        <v>454</v>
      </c>
      <c r="D46" s="15" t="s">
        <v>1006</v>
      </c>
    </row>
    <row r="47" spans="2:7" customFormat="1" outlineLevel="1" x14ac:dyDescent="0.2">
      <c r="B47" s="15">
        <v>3</v>
      </c>
      <c r="C47" s="15" t="s">
        <v>456</v>
      </c>
      <c r="D47" s="15" t="s">
        <v>1005</v>
      </c>
    </row>
    <row r="48" spans="2:7" customFormat="1" outlineLevel="1" x14ac:dyDescent="0.2">
      <c r="B48" s="15">
        <v>4</v>
      </c>
      <c r="C48" s="15" t="s">
        <v>453</v>
      </c>
      <c r="D48" s="15" t="s">
        <v>1006</v>
      </c>
    </row>
    <row r="49" spans="2:4" customFormat="1" outlineLevel="1" x14ac:dyDescent="0.2">
      <c r="B49" s="15">
        <v>5</v>
      </c>
      <c r="C49" s="15" t="s">
        <v>631</v>
      </c>
      <c r="D49" s="15" t="s">
        <v>1005</v>
      </c>
    </row>
    <row r="50" spans="2:4" customFormat="1" outlineLevel="1" x14ac:dyDescent="0.2">
      <c r="B50" s="15">
        <v>6</v>
      </c>
      <c r="C50" s="15" t="s">
        <v>455</v>
      </c>
      <c r="D50" s="15" t="s">
        <v>1005</v>
      </c>
    </row>
    <row r="51" spans="2:4" customFormat="1" outlineLevel="1" x14ac:dyDescent="0.2">
      <c r="B51" s="15">
        <v>7</v>
      </c>
      <c r="C51" s="15" t="s">
        <v>632</v>
      </c>
      <c r="D51" s="15" t="s">
        <v>1005</v>
      </c>
    </row>
    <row r="52" spans="2:4" customFormat="1" outlineLevel="1" x14ac:dyDescent="0.2">
      <c r="B52" s="15">
        <v>8</v>
      </c>
      <c r="C52" s="15" t="s">
        <v>457</v>
      </c>
      <c r="D52" s="15" t="s">
        <v>1006</v>
      </c>
    </row>
    <row r="53" spans="2:4" customFormat="1" outlineLevel="1" x14ac:dyDescent="0.2">
      <c r="B53" s="15">
        <v>9</v>
      </c>
      <c r="C53" s="15" t="s">
        <v>458</v>
      </c>
      <c r="D53" s="15" t="s">
        <v>1007</v>
      </c>
    </row>
    <row r="54" spans="2:4" customFormat="1" outlineLevel="1" x14ac:dyDescent="0.2">
      <c r="B54" s="15">
        <v>10</v>
      </c>
      <c r="C54" s="15" t="s">
        <v>633</v>
      </c>
      <c r="D54" s="15" t="s">
        <v>1005</v>
      </c>
    </row>
    <row r="55" spans="2:4" customFormat="1" outlineLevel="1" x14ac:dyDescent="0.2"/>
    <row r="56" spans="2:4" customFormat="1" outlineLevel="1" x14ac:dyDescent="0.2"/>
    <row r="57" spans="2:4" customFormat="1" outlineLevel="1" x14ac:dyDescent="0.2"/>
    <row r="58" spans="2:4" customFormat="1" outlineLevel="1" x14ac:dyDescent="0.2"/>
    <row r="59" spans="2:4" customFormat="1" x14ac:dyDescent="0.2"/>
    <row r="60" spans="2:4" customFormat="1" x14ac:dyDescent="0.2"/>
    <row r="63" spans="2:4" outlineLevel="1" x14ac:dyDescent="0.2"/>
    <row r="64" spans="2:4" outlineLevel="1" x14ac:dyDescent="0.2"/>
    <row r="65" outlineLevel="1" x14ac:dyDescent="0.2"/>
    <row r="66" outlineLevel="1" x14ac:dyDescent="0.2"/>
    <row r="67" outlineLevel="1" x14ac:dyDescent="0.2"/>
    <row r="68" outlineLevel="1" x14ac:dyDescent="0.2"/>
    <row r="69" outlineLevel="1" x14ac:dyDescent="0.2"/>
    <row r="70" outlineLevel="1" x14ac:dyDescent="0.2"/>
    <row r="71" outlineLevel="1" x14ac:dyDescent="0.2"/>
    <row r="72" outlineLevel="1" x14ac:dyDescent="0.2"/>
    <row r="73" outlineLevel="1" x14ac:dyDescent="0.2"/>
    <row r="74" outlineLevel="1" x14ac:dyDescent="0.2"/>
    <row r="75" outlineLevel="1" x14ac:dyDescent="0.2"/>
    <row r="76" outlineLevel="1" x14ac:dyDescent="0.2"/>
    <row r="77" outlineLevel="1" x14ac:dyDescent="0.2"/>
    <row r="78" outlineLevel="1" x14ac:dyDescent="0.2"/>
    <row r="79" outlineLevel="1" x14ac:dyDescent="0.2"/>
    <row r="80" outlineLevel="1" x14ac:dyDescent="0.2"/>
    <row r="81" spans="2:9" outlineLevel="1" x14ac:dyDescent="0.2"/>
    <row r="82" spans="2:9" ht="15" outlineLevel="1" x14ac:dyDescent="0.25">
      <c r="B82" s="4" t="s">
        <v>943</v>
      </c>
    </row>
    <row r="83" spans="2:9" outlineLevel="1" x14ac:dyDescent="0.2"/>
    <row r="84" spans="2:9" ht="15" outlineLevel="1" x14ac:dyDescent="0.25">
      <c r="B84" s="21" t="s">
        <v>923</v>
      </c>
      <c r="C84" s="21" t="s">
        <v>924</v>
      </c>
      <c r="D84" s="21" t="s">
        <v>925</v>
      </c>
      <c r="E84" s="21" t="s">
        <v>926</v>
      </c>
      <c r="F84" s="21" t="s">
        <v>927</v>
      </c>
      <c r="G84" s="21" t="s">
        <v>928</v>
      </c>
      <c r="I84" s="21" t="s">
        <v>1010</v>
      </c>
    </row>
    <row r="85" spans="2:9" outlineLevel="1" x14ac:dyDescent="0.2">
      <c r="B85" s="50">
        <v>44627</v>
      </c>
      <c r="C85" s="15" t="s">
        <v>929</v>
      </c>
      <c r="D85" s="15" t="s">
        <v>930</v>
      </c>
      <c r="E85" s="15">
        <v>20</v>
      </c>
      <c r="F85" s="15">
        <v>13</v>
      </c>
      <c r="G85" s="15">
        <v>260</v>
      </c>
      <c r="I85" s="17">
        <f>COUNTIFS(C84:C96,"Vadapav",D84:D96,"Fastfood",F84:F96,"&gt;10")</f>
        <v>1</v>
      </c>
    </row>
    <row r="86" spans="2:9" outlineLevel="1" x14ac:dyDescent="0.2">
      <c r="B86" s="50" t="s">
        <v>931</v>
      </c>
      <c r="C86" s="15" t="s">
        <v>932</v>
      </c>
      <c r="D86" s="15" t="s">
        <v>930</v>
      </c>
      <c r="E86" s="15">
        <v>20</v>
      </c>
      <c r="F86" s="15">
        <v>15</v>
      </c>
      <c r="G86" s="15">
        <v>300</v>
      </c>
    </row>
    <row r="87" spans="2:9" outlineLevel="1" x14ac:dyDescent="0.2">
      <c r="B87" s="50" t="s">
        <v>933</v>
      </c>
      <c r="C87" s="15" t="s">
        <v>932</v>
      </c>
      <c r="D87" s="15" t="s">
        <v>930</v>
      </c>
      <c r="E87" s="15">
        <v>20</v>
      </c>
      <c r="F87" s="15">
        <v>1</v>
      </c>
      <c r="G87" s="15">
        <v>20</v>
      </c>
    </row>
    <row r="88" spans="2:9" outlineLevel="1" x14ac:dyDescent="0.2">
      <c r="B88" s="50">
        <v>44987</v>
      </c>
      <c r="C88" s="15" t="s">
        <v>934</v>
      </c>
      <c r="D88" s="15" t="s">
        <v>935</v>
      </c>
      <c r="E88" s="15">
        <v>25</v>
      </c>
      <c r="F88" s="15">
        <v>6</v>
      </c>
      <c r="G88" s="15">
        <v>150</v>
      </c>
    </row>
    <row r="89" spans="2:9" outlineLevel="1" x14ac:dyDescent="0.2">
      <c r="B89" s="50">
        <v>44602</v>
      </c>
      <c r="C89" s="15" t="s">
        <v>934</v>
      </c>
      <c r="D89" s="15" t="s">
        <v>935</v>
      </c>
      <c r="E89" s="15">
        <v>25</v>
      </c>
      <c r="F89" s="15">
        <v>8</v>
      </c>
      <c r="G89" s="15">
        <v>200</v>
      </c>
    </row>
    <row r="90" spans="2:9" outlineLevel="1" x14ac:dyDescent="0.2">
      <c r="B90" s="50" t="s">
        <v>937</v>
      </c>
      <c r="C90" s="15" t="s">
        <v>932</v>
      </c>
      <c r="D90" s="15" t="s">
        <v>930</v>
      </c>
      <c r="E90" s="15">
        <v>20</v>
      </c>
      <c r="F90" s="15">
        <v>10</v>
      </c>
      <c r="G90" s="15">
        <v>200</v>
      </c>
    </row>
    <row r="91" spans="2:9" outlineLevel="1" x14ac:dyDescent="0.2">
      <c r="B91" s="50">
        <v>44625</v>
      </c>
      <c r="C91" s="15" t="s">
        <v>934</v>
      </c>
      <c r="D91" s="15" t="s">
        <v>935</v>
      </c>
      <c r="E91" s="15">
        <v>25</v>
      </c>
      <c r="F91" s="15">
        <v>9</v>
      </c>
      <c r="G91" s="15">
        <v>225</v>
      </c>
    </row>
    <row r="92" spans="2:9" outlineLevel="1" x14ac:dyDescent="0.2">
      <c r="B92" s="50" t="s">
        <v>938</v>
      </c>
      <c r="C92" s="15" t="s">
        <v>939</v>
      </c>
      <c r="D92" s="15" t="s">
        <v>930</v>
      </c>
      <c r="E92" s="15">
        <v>20</v>
      </c>
      <c r="F92" s="15">
        <v>14</v>
      </c>
      <c r="G92" s="15">
        <v>280</v>
      </c>
    </row>
    <row r="93" spans="2:9" outlineLevel="1" x14ac:dyDescent="0.2">
      <c r="B93" s="50">
        <v>44840</v>
      </c>
      <c r="C93" s="15" t="s">
        <v>939</v>
      </c>
      <c r="D93" s="15" t="s">
        <v>930</v>
      </c>
      <c r="E93" s="15">
        <v>20</v>
      </c>
      <c r="F93" s="15">
        <v>1</v>
      </c>
      <c r="G93" s="15">
        <v>20</v>
      </c>
    </row>
    <row r="94" spans="2:9" outlineLevel="1" x14ac:dyDescent="0.2">
      <c r="B94" s="50" t="s">
        <v>940</v>
      </c>
      <c r="C94" s="15" t="s">
        <v>939</v>
      </c>
      <c r="D94" s="15" t="s">
        <v>930</v>
      </c>
      <c r="E94" s="15">
        <v>20</v>
      </c>
      <c r="F94" s="15">
        <v>5</v>
      </c>
      <c r="G94" s="15">
        <v>100</v>
      </c>
    </row>
    <row r="95" spans="2:9" customFormat="1" outlineLevel="1" x14ac:dyDescent="0.2">
      <c r="B95" s="50">
        <v>44573</v>
      </c>
      <c r="C95" s="15" t="s">
        <v>941</v>
      </c>
      <c r="D95" s="15" t="s">
        <v>930</v>
      </c>
      <c r="E95" s="15">
        <v>50</v>
      </c>
      <c r="F95" s="15">
        <v>8</v>
      </c>
      <c r="G95" s="15">
        <v>400</v>
      </c>
      <c r="H95" s="2"/>
      <c r="I95" s="2"/>
    </row>
    <row r="96" spans="2:9" customFormat="1" outlineLevel="1" x14ac:dyDescent="0.2">
      <c r="B96" s="50">
        <v>44902</v>
      </c>
      <c r="C96" s="15" t="s">
        <v>932</v>
      </c>
      <c r="D96" s="15" t="s">
        <v>930</v>
      </c>
      <c r="E96" s="15">
        <v>20</v>
      </c>
      <c r="F96" s="15">
        <v>8</v>
      </c>
      <c r="G96" s="15">
        <v>160</v>
      </c>
      <c r="H96" s="2"/>
      <c r="I96" s="2"/>
    </row>
    <row r="97" spans="2:9" outlineLevel="1" x14ac:dyDescent="0.2"/>
    <row r="98" spans="2:9" outlineLevel="1" x14ac:dyDescent="0.2"/>
    <row r="99" spans="2:9" outlineLevel="1" x14ac:dyDescent="0.2"/>
    <row r="100" spans="2:9" outlineLevel="1" x14ac:dyDescent="0.2"/>
    <row r="101" spans="2:9" ht="15" outlineLevel="1" x14ac:dyDescent="0.25">
      <c r="B101" s="4" t="s">
        <v>947</v>
      </c>
    </row>
    <row r="102" spans="2:9" outlineLevel="1" x14ac:dyDescent="0.2">
      <c r="B102" s="2" t="s">
        <v>948</v>
      </c>
    </row>
    <row r="103" spans="2:9" outlineLevel="1" x14ac:dyDescent="0.2"/>
    <row r="104" spans="2:9" outlineLevel="1" x14ac:dyDescent="0.2"/>
    <row r="105" spans="2:9" outlineLevel="1" x14ac:dyDescent="0.2"/>
    <row r="106" spans="2:9" outlineLevel="1" x14ac:dyDescent="0.2"/>
    <row r="107" spans="2:9" customFormat="1" ht="15" outlineLevel="1" x14ac:dyDescent="0.25">
      <c r="B107" s="21" t="s">
        <v>742</v>
      </c>
      <c r="C107" s="21" t="s">
        <v>949</v>
      </c>
      <c r="D107" s="21" t="s">
        <v>950</v>
      </c>
      <c r="E107" s="21" t="s">
        <v>951</v>
      </c>
      <c r="F107" s="21" t="s">
        <v>952</v>
      </c>
      <c r="G107" s="21" t="s">
        <v>953</v>
      </c>
      <c r="H107" s="2"/>
      <c r="I107" s="21" t="s">
        <v>1009</v>
      </c>
    </row>
    <row r="108" spans="2:9" customFormat="1" outlineLevel="1" x14ac:dyDescent="0.2">
      <c r="B108" s="47">
        <v>44774</v>
      </c>
      <c r="C108" s="15" t="s">
        <v>954</v>
      </c>
      <c r="D108" s="15" t="s">
        <v>955</v>
      </c>
      <c r="E108" s="15" t="s">
        <v>956</v>
      </c>
      <c r="F108" s="15" t="s">
        <v>957</v>
      </c>
      <c r="G108" s="15">
        <v>15983</v>
      </c>
      <c r="H108" s="2"/>
      <c r="I108" s="57">
        <f>COUNTIFS(F108:F124,"Altima",E108:E124,"Ford")</f>
        <v>4</v>
      </c>
    </row>
    <row r="109" spans="2:9" customFormat="1" outlineLevel="1" x14ac:dyDescent="0.2">
      <c r="B109" s="47">
        <v>45000</v>
      </c>
      <c r="C109" s="15" t="s">
        <v>958</v>
      </c>
      <c r="D109" s="15" t="s">
        <v>959</v>
      </c>
      <c r="E109" s="15" t="s">
        <v>956</v>
      </c>
      <c r="F109" s="15" t="s">
        <v>960</v>
      </c>
      <c r="G109" s="15">
        <v>38474</v>
      </c>
      <c r="H109" s="2"/>
      <c r="I109" s="2"/>
    </row>
    <row r="110" spans="2:9" customFormat="1" outlineLevel="1" x14ac:dyDescent="0.2">
      <c r="B110" s="47">
        <v>45045</v>
      </c>
      <c r="C110" s="15" t="s">
        <v>961</v>
      </c>
      <c r="D110" s="15" t="s">
        <v>962</v>
      </c>
      <c r="E110" s="15" t="s">
        <v>963</v>
      </c>
      <c r="F110" s="15" t="s">
        <v>964</v>
      </c>
      <c r="G110" s="15">
        <v>33340</v>
      </c>
      <c r="H110" s="2"/>
      <c r="I110" s="2"/>
    </row>
    <row r="111" spans="2:9" customFormat="1" outlineLevel="1" x14ac:dyDescent="0.2">
      <c r="B111" s="47">
        <v>44808</v>
      </c>
      <c r="C111" s="15" t="s">
        <v>965</v>
      </c>
      <c r="D111" s="15" t="s">
        <v>966</v>
      </c>
      <c r="E111" s="15" t="s">
        <v>963</v>
      </c>
      <c r="F111" s="15" t="s">
        <v>957</v>
      </c>
      <c r="G111" s="15">
        <v>41937</v>
      </c>
      <c r="H111" s="2"/>
      <c r="I111" s="2"/>
    </row>
    <row r="112" spans="2:9" customFormat="1" x14ac:dyDescent="0.2">
      <c r="B112" s="47">
        <v>44728</v>
      </c>
      <c r="C112" s="15" t="s">
        <v>967</v>
      </c>
      <c r="D112" s="15" t="s">
        <v>968</v>
      </c>
      <c r="E112" s="15" t="s">
        <v>969</v>
      </c>
      <c r="F112" s="15" t="s">
        <v>970</v>
      </c>
      <c r="G112" s="15">
        <v>20256</v>
      </c>
      <c r="H112" s="2"/>
      <c r="I112" s="2"/>
    </row>
    <row r="113" spans="2:7" x14ac:dyDescent="0.2">
      <c r="B113" s="47">
        <v>44913</v>
      </c>
      <c r="C113" s="15" t="s">
        <v>971</v>
      </c>
      <c r="D113" s="15" t="s">
        <v>972</v>
      </c>
      <c r="E113" s="15" t="s">
        <v>963</v>
      </c>
      <c r="F113" s="15" t="s">
        <v>957</v>
      </c>
      <c r="G113" s="15">
        <v>14769</v>
      </c>
    </row>
    <row r="114" spans="2:7" x14ac:dyDescent="0.2">
      <c r="B114" s="47">
        <v>44724</v>
      </c>
      <c r="C114" s="15" t="s">
        <v>973</v>
      </c>
      <c r="D114" s="15" t="s">
        <v>974</v>
      </c>
      <c r="E114" s="15" t="s">
        <v>969</v>
      </c>
      <c r="F114" s="15" t="s">
        <v>960</v>
      </c>
      <c r="G114" s="15">
        <v>41397</v>
      </c>
    </row>
    <row r="115" spans="2:7" x14ac:dyDescent="0.2">
      <c r="B115" s="47">
        <v>44732</v>
      </c>
      <c r="C115" s="15" t="s">
        <v>975</v>
      </c>
      <c r="D115" s="15" t="s">
        <v>976</v>
      </c>
      <c r="E115" s="15" t="s">
        <v>963</v>
      </c>
      <c r="F115" s="15" t="s">
        <v>957</v>
      </c>
      <c r="G115" s="15">
        <v>46233</v>
      </c>
    </row>
    <row r="116" spans="2:7" x14ac:dyDescent="0.2">
      <c r="B116" s="47">
        <v>44806</v>
      </c>
      <c r="C116" s="15" t="s">
        <v>977</v>
      </c>
      <c r="D116" s="15" t="s">
        <v>978</v>
      </c>
      <c r="E116" s="15" t="s">
        <v>963</v>
      </c>
      <c r="F116" s="15" t="s">
        <v>979</v>
      </c>
      <c r="G116" s="15">
        <v>27337</v>
      </c>
    </row>
    <row r="117" spans="2:7" x14ac:dyDescent="0.2">
      <c r="B117" s="47">
        <v>45022</v>
      </c>
      <c r="C117" s="15" t="s">
        <v>980</v>
      </c>
      <c r="D117" s="15" t="s">
        <v>981</v>
      </c>
      <c r="E117" s="15" t="s">
        <v>963</v>
      </c>
      <c r="F117" s="15" t="s">
        <v>964</v>
      </c>
      <c r="G117" s="15">
        <v>16309</v>
      </c>
    </row>
    <row r="118" spans="2:7" x14ac:dyDescent="0.2">
      <c r="B118" s="47">
        <v>44997</v>
      </c>
      <c r="C118" s="15" t="s">
        <v>982</v>
      </c>
      <c r="D118" s="15" t="s">
        <v>983</v>
      </c>
      <c r="E118" s="15" t="s">
        <v>969</v>
      </c>
      <c r="F118" s="15" t="s">
        <v>970</v>
      </c>
      <c r="G118" s="15">
        <v>41259</v>
      </c>
    </row>
    <row r="119" spans="2:7" x14ac:dyDescent="0.2">
      <c r="B119" s="47">
        <v>44955</v>
      </c>
      <c r="C119" s="15" t="s">
        <v>984</v>
      </c>
      <c r="D119" s="15" t="s">
        <v>985</v>
      </c>
      <c r="E119" s="15" t="s">
        <v>986</v>
      </c>
      <c r="F119" s="15" t="s">
        <v>970</v>
      </c>
      <c r="G119" s="15">
        <v>48224</v>
      </c>
    </row>
    <row r="120" spans="2:7" x14ac:dyDescent="0.2">
      <c r="B120" s="47">
        <v>44710</v>
      </c>
      <c r="C120" s="15" t="s">
        <v>987</v>
      </c>
      <c r="D120" s="15" t="s">
        <v>988</v>
      </c>
      <c r="E120" s="15" t="s">
        <v>963</v>
      </c>
      <c r="F120" s="15" t="s">
        <v>957</v>
      </c>
      <c r="G120" s="15">
        <v>36409</v>
      </c>
    </row>
    <row r="121" spans="2:7" x14ac:dyDescent="0.2">
      <c r="B121" s="47">
        <v>44785</v>
      </c>
      <c r="C121" s="15" t="s">
        <v>989</v>
      </c>
      <c r="D121" s="15" t="s">
        <v>990</v>
      </c>
      <c r="E121" s="15" t="s">
        <v>986</v>
      </c>
      <c r="F121" s="15" t="s">
        <v>960</v>
      </c>
      <c r="G121" s="15">
        <v>29628</v>
      </c>
    </row>
    <row r="122" spans="2:7" x14ac:dyDescent="0.2">
      <c r="B122" s="47">
        <v>45022</v>
      </c>
      <c r="C122" s="15" t="s">
        <v>991</v>
      </c>
      <c r="D122" s="15" t="s">
        <v>992</v>
      </c>
      <c r="E122" s="15" t="s">
        <v>993</v>
      </c>
      <c r="F122" s="15" t="s">
        <v>957</v>
      </c>
      <c r="G122" s="15">
        <v>10313</v>
      </c>
    </row>
    <row r="123" spans="2:7" x14ac:dyDescent="0.2">
      <c r="B123" s="47">
        <v>44916</v>
      </c>
      <c r="C123" s="15" t="s">
        <v>994</v>
      </c>
      <c r="D123" s="15" t="s">
        <v>995</v>
      </c>
      <c r="E123" s="15" t="s">
        <v>969</v>
      </c>
      <c r="F123" s="15" t="s">
        <v>979</v>
      </c>
      <c r="G123" s="15">
        <v>36607</v>
      </c>
    </row>
    <row r="124" spans="2:7" x14ac:dyDescent="0.2">
      <c r="B124" s="47">
        <v>44785</v>
      </c>
      <c r="C124" s="15" t="s">
        <v>996</v>
      </c>
      <c r="D124" s="15" t="s">
        <v>997</v>
      </c>
      <c r="E124" s="15" t="s">
        <v>956</v>
      </c>
      <c r="F124" s="15" t="s">
        <v>957</v>
      </c>
      <c r="G124" s="15">
        <v>39916</v>
      </c>
    </row>
    <row r="125" spans="2:7" x14ac:dyDescent="0.2">
      <c r="B125"/>
    </row>
    <row r="126" spans="2:7" x14ac:dyDescent="0.2">
      <c r="C126" s="30"/>
    </row>
    <row r="127" spans="2:7" x14ac:dyDescent="0.2">
      <c r="C127" s="30"/>
    </row>
    <row r="128" spans="2:7" x14ac:dyDescent="0.2">
      <c r="C128" s="30"/>
    </row>
    <row r="129" spans="2:4" x14ac:dyDescent="0.2">
      <c r="C129" s="30"/>
    </row>
    <row r="130" spans="2:4" x14ac:dyDescent="0.2">
      <c r="C130" s="30"/>
    </row>
    <row r="131" spans="2:4" x14ac:dyDescent="0.2">
      <c r="C131" s="29"/>
      <c r="D131" s="2" t="s">
        <v>444</v>
      </c>
    </row>
    <row r="132" spans="2:4" x14ac:dyDescent="0.2">
      <c r="C132" s="30"/>
    </row>
    <row r="138" spans="2:4" ht="15" x14ac:dyDescent="0.25">
      <c r="B138" s="4"/>
    </row>
    <row r="153" spans="2:2" ht="15" x14ac:dyDescent="0.25">
      <c r="B153" s="4"/>
    </row>
    <row r="179" spans="2:2" ht="15" x14ac:dyDescent="0.25">
      <c r="B179" s="4" t="s">
        <v>396</v>
      </c>
    </row>
    <row r="180" spans="2:2" x14ac:dyDescent="0.2">
      <c r="B180" s="2" t="s">
        <v>397</v>
      </c>
    </row>
    <row r="194" spans="2:2" ht="15" x14ac:dyDescent="0.25">
      <c r="B194" s="4" t="s">
        <v>396</v>
      </c>
    </row>
    <row r="195" spans="2:2" x14ac:dyDescent="0.2">
      <c r="B195" s="2" t="s">
        <v>397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43A1-DC0B-4CD6-92C4-585F4E8D6C25}">
  <dimension ref="B1:I267"/>
  <sheetViews>
    <sheetView showGridLines="0" zoomScale="103" zoomScaleNormal="90" workbookViewId="0">
      <pane ySplit="3" topLeftCell="A246" activePane="bottomLeft" state="frozen"/>
      <selection activeCell="B20" sqref="B20:G34"/>
      <selection pane="bottomLeft" activeCell="I251" sqref="I251"/>
    </sheetView>
  </sheetViews>
  <sheetFormatPr baseColWidth="10" defaultColWidth="11.5" defaultRowHeight="14.25" outlineLevelRow="1" x14ac:dyDescent="0.2"/>
  <cols>
    <col min="1" max="1" width="1.5" style="2" customWidth="1"/>
    <col min="2" max="2" width="16" style="2" customWidth="1"/>
    <col min="3" max="3" width="17.25" style="2" bestFit="1" customWidth="1"/>
    <col min="4" max="4" width="17.5" style="2" bestFit="1" customWidth="1"/>
    <col min="5" max="5" width="10.25" style="2" bestFit="1" customWidth="1"/>
    <col min="6" max="6" width="9.75" style="2" bestFit="1" customWidth="1"/>
    <col min="7" max="7" width="18.875" style="2" bestFit="1" customWidth="1"/>
    <col min="8" max="8" width="9.5" style="2" bestFit="1" customWidth="1"/>
    <col min="9" max="9" width="51.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9" outlineLevel="1" x14ac:dyDescent="0.2"/>
    <row r="18" spans="2:9" outlineLevel="1" x14ac:dyDescent="0.2"/>
    <row r="19" spans="2:9" outlineLevel="1" x14ac:dyDescent="0.2"/>
    <row r="20" spans="2:9" ht="15" outlineLevel="1" x14ac:dyDescent="0.25">
      <c r="B20" s="4" t="s">
        <v>943</v>
      </c>
    </row>
    <row r="21" spans="2:9" outlineLevel="1" x14ac:dyDescent="0.2"/>
    <row r="22" spans="2:9" ht="15" outlineLevel="1" x14ac:dyDescent="0.25">
      <c r="B22" s="21" t="s">
        <v>923</v>
      </c>
      <c r="C22" s="21" t="s">
        <v>924</v>
      </c>
      <c r="D22" s="21" t="s">
        <v>925</v>
      </c>
      <c r="E22" s="21" t="s">
        <v>926</v>
      </c>
      <c r="F22" s="21" t="s">
        <v>927</v>
      </c>
      <c r="G22" s="21" t="s">
        <v>928</v>
      </c>
      <c r="I22" s="21" t="s">
        <v>942</v>
      </c>
    </row>
    <row r="23" spans="2:9" outlineLevel="1" x14ac:dyDescent="0.2">
      <c r="B23" s="50">
        <v>44627</v>
      </c>
      <c r="C23" s="15" t="s">
        <v>929</v>
      </c>
      <c r="D23" s="15" t="s">
        <v>930</v>
      </c>
      <c r="E23" s="15">
        <v>20</v>
      </c>
      <c r="F23" s="15">
        <v>13</v>
      </c>
      <c r="G23" s="15">
        <v>260</v>
      </c>
      <c r="I23" s="42">
        <f>SUMIF(D23:D34,"fastfood",G23:G34)</f>
        <v>1740</v>
      </c>
    </row>
    <row r="24" spans="2:9" outlineLevel="1" x14ac:dyDescent="0.2">
      <c r="B24" s="50" t="s">
        <v>931</v>
      </c>
      <c r="C24" s="15" t="s">
        <v>932</v>
      </c>
      <c r="D24" s="15" t="s">
        <v>930</v>
      </c>
      <c r="E24" s="15">
        <v>20</v>
      </c>
      <c r="F24" s="15">
        <v>15</v>
      </c>
      <c r="G24" s="15">
        <v>300</v>
      </c>
    </row>
    <row r="25" spans="2:9" outlineLevel="1" x14ac:dyDescent="0.2">
      <c r="B25" s="50" t="s">
        <v>933</v>
      </c>
      <c r="C25" s="15" t="s">
        <v>932</v>
      </c>
      <c r="D25" s="15" t="s">
        <v>930</v>
      </c>
      <c r="E25" s="15">
        <v>20</v>
      </c>
      <c r="F25" s="15">
        <v>1</v>
      </c>
      <c r="G25" s="15">
        <v>20</v>
      </c>
    </row>
    <row r="26" spans="2:9" outlineLevel="1" x14ac:dyDescent="0.2">
      <c r="B26" s="50">
        <v>44987</v>
      </c>
      <c r="C26" s="15" t="s">
        <v>934</v>
      </c>
      <c r="D26" s="15" t="s">
        <v>935</v>
      </c>
      <c r="E26" s="15">
        <v>25</v>
      </c>
      <c r="F26" s="15">
        <v>6</v>
      </c>
      <c r="G26" s="15">
        <v>150</v>
      </c>
    </row>
    <row r="27" spans="2:9" outlineLevel="1" x14ac:dyDescent="0.2">
      <c r="B27" s="50">
        <v>44602</v>
      </c>
      <c r="C27" s="15" t="s">
        <v>934</v>
      </c>
      <c r="D27" s="15" t="s">
        <v>935</v>
      </c>
      <c r="E27" s="15">
        <v>25</v>
      </c>
      <c r="F27" s="15">
        <v>8</v>
      </c>
      <c r="G27" s="15">
        <v>200</v>
      </c>
    </row>
    <row r="28" spans="2:9" outlineLevel="1" x14ac:dyDescent="0.2">
      <c r="B28" s="50" t="s">
        <v>937</v>
      </c>
      <c r="C28" s="15" t="s">
        <v>932</v>
      </c>
      <c r="D28" s="15" t="s">
        <v>930</v>
      </c>
      <c r="E28" s="15">
        <v>20</v>
      </c>
      <c r="F28" s="15">
        <v>10</v>
      </c>
      <c r="G28" s="15">
        <v>200</v>
      </c>
    </row>
    <row r="29" spans="2:9" outlineLevel="1" x14ac:dyDescent="0.2">
      <c r="B29" s="50">
        <v>44625</v>
      </c>
      <c r="C29" s="15" t="s">
        <v>934</v>
      </c>
      <c r="D29" s="15" t="s">
        <v>935</v>
      </c>
      <c r="E29" s="15">
        <v>25</v>
      </c>
      <c r="F29" s="15">
        <v>9</v>
      </c>
      <c r="G29" s="15">
        <v>225</v>
      </c>
    </row>
    <row r="30" spans="2:9" outlineLevel="1" x14ac:dyDescent="0.2">
      <c r="B30" s="50" t="s">
        <v>938</v>
      </c>
      <c r="C30" s="15" t="s">
        <v>939</v>
      </c>
      <c r="D30" s="15" t="s">
        <v>930</v>
      </c>
      <c r="E30" s="15">
        <v>20</v>
      </c>
      <c r="F30" s="15">
        <v>14</v>
      </c>
      <c r="G30" s="15">
        <v>280</v>
      </c>
    </row>
    <row r="31" spans="2:9" outlineLevel="1" x14ac:dyDescent="0.2">
      <c r="B31" s="50">
        <v>44840</v>
      </c>
      <c r="C31" s="15" t="s">
        <v>939</v>
      </c>
      <c r="D31" s="15" t="s">
        <v>930</v>
      </c>
      <c r="E31" s="15">
        <v>20</v>
      </c>
      <c r="F31" s="15">
        <v>1</v>
      </c>
      <c r="G31" s="15">
        <v>20</v>
      </c>
    </row>
    <row r="32" spans="2:9" outlineLevel="1" x14ac:dyDescent="0.2">
      <c r="B32" s="50" t="s">
        <v>940</v>
      </c>
      <c r="C32" s="15" t="s">
        <v>939</v>
      </c>
      <c r="D32" s="15" t="s">
        <v>930</v>
      </c>
      <c r="E32" s="15">
        <v>20</v>
      </c>
      <c r="F32" s="15">
        <v>5</v>
      </c>
      <c r="G32" s="15">
        <v>100</v>
      </c>
    </row>
    <row r="33" spans="2:9" outlineLevel="1" x14ac:dyDescent="0.2">
      <c r="B33" s="50">
        <v>44573</v>
      </c>
      <c r="C33" s="15" t="s">
        <v>941</v>
      </c>
      <c r="D33" s="15" t="s">
        <v>930</v>
      </c>
      <c r="E33" s="15">
        <v>50</v>
      </c>
      <c r="F33" s="15">
        <v>8</v>
      </c>
      <c r="G33" s="15">
        <v>400</v>
      </c>
    </row>
    <row r="34" spans="2:9" outlineLevel="1" x14ac:dyDescent="0.2">
      <c r="B34" s="50">
        <v>44902</v>
      </c>
      <c r="C34" s="15" t="s">
        <v>932</v>
      </c>
      <c r="D34" s="15" t="s">
        <v>930</v>
      </c>
      <c r="E34" s="15">
        <v>20</v>
      </c>
      <c r="F34" s="15">
        <v>8</v>
      </c>
      <c r="G34" s="15">
        <v>160</v>
      </c>
    </row>
    <row r="35" spans="2:9" outlineLevel="1" x14ac:dyDescent="0.2"/>
    <row r="36" spans="2:9" outlineLevel="1" x14ac:dyDescent="0.2"/>
    <row r="37" spans="2:9" outlineLevel="1" x14ac:dyDescent="0.2"/>
    <row r="38" spans="2:9" outlineLevel="1" x14ac:dyDescent="0.2"/>
    <row r="39" spans="2:9" ht="15" outlineLevel="1" x14ac:dyDescent="0.25">
      <c r="B39" s="4" t="s">
        <v>947</v>
      </c>
    </row>
    <row r="40" spans="2:9" outlineLevel="1" x14ac:dyDescent="0.2">
      <c r="B40" s="2" t="s">
        <v>948</v>
      </c>
    </row>
    <row r="41" spans="2:9" outlineLevel="1" x14ac:dyDescent="0.2"/>
    <row r="42" spans="2:9" outlineLevel="1" x14ac:dyDescent="0.2"/>
    <row r="43" spans="2:9" outlineLevel="1" x14ac:dyDescent="0.2"/>
    <row r="44" spans="2:9" outlineLevel="1" x14ac:dyDescent="0.2"/>
    <row r="45" spans="2:9" ht="15" outlineLevel="1" x14ac:dyDescent="0.25">
      <c r="B45" s="21" t="s">
        <v>742</v>
      </c>
      <c r="C45" s="21" t="s">
        <v>949</v>
      </c>
      <c r="D45" s="21" t="s">
        <v>950</v>
      </c>
      <c r="E45" s="21" t="s">
        <v>951</v>
      </c>
      <c r="F45" s="21" t="s">
        <v>952</v>
      </c>
      <c r="G45" s="21" t="s">
        <v>953</v>
      </c>
      <c r="I45" s="21" t="s">
        <v>998</v>
      </c>
    </row>
    <row r="46" spans="2:9" outlineLevel="1" x14ac:dyDescent="0.2">
      <c r="B46" s="47">
        <v>44774</v>
      </c>
      <c r="C46" s="15" t="s">
        <v>954</v>
      </c>
      <c r="D46" s="15" t="s">
        <v>955</v>
      </c>
      <c r="E46" s="15" t="s">
        <v>956</v>
      </c>
      <c r="F46" s="15" t="s">
        <v>957</v>
      </c>
      <c r="G46" s="15">
        <v>15983</v>
      </c>
      <c r="I46" s="42">
        <f>SUMIF(E46:E62,"Nissan",G46:G62)</f>
        <v>94373</v>
      </c>
    </row>
    <row r="47" spans="2:9" outlineLevel="1" x14ac:dyDescent="0.2">
      <c r="B47" s="47">
        <v>45000</v>
      </c>
      <c r="C47" s="15" t="s">
        <v>958</v>
      </c>
      <c r="D47" s="15" t="s">
        <v>959</v>
      </c>
      <c r="E47" s="15" t="s">
        <v>956</v>
      </c>
      <c r="F47" s="15" t="s">
        <v>960</v>
      </c>
      <c r="G47" s="15">
        <v>38474</v>
      </c>
    </row>
    <row r="48" spans="2:9" outlineLevel="1" x14ac:dyDescent="0.2">
      <c r="B48" s="47">
        <v>45045</v>
      </c>
      <c r="C48" s="15" t="s">
        <v>961</v>
      </c>
      <c r="D48" s="15" t="s">
        <v>962</v>
      </c>
      <c r="E48" s="15" t="s">
        <v>963</v>
      </c>
      <c r="F48" s="15" t="s">
        <v>964</v>
      </c>
      <c r="G48" s="15">
        <v>33340</v>
      </c>
    </row>
    <row r="49" spans="2:7" outlineLevel="1" x14ac:dyDescent="0.2">
      <c r="B49" s="47">
        <v>44808</v>
      </c>
      <c r="C49" s="15" t="s">
        <v>965</v>
      </c>
      <c r="D49" s="15" t="s">
        <v>966</v>
      </c>
      <c r="E49" s="15" t="s">
        <v>963</v>
      </c>
      <c r="F49" s="15" t="s">
        <v>957</v>
      </c>
      <c r="G49" s="15">
        <v>41937</v>
      </c>
    </row>
    <row r="50" spans="2:7" outlineLevel="1" x14ac:dyDescent="0.2">
      <c r="B50" s="47">
        <v>44728</v>
      </c>
      <c r="C50" s="15" t="s">
        <v>967</v>
      </c>
      <c r="D50" s="15" t="s">
        <v>968</v>
      </c>
      <c r="E50" s="15" t="s">
        <v>969</v>
      </c>
      <c r="F50" s="15" t="s">
        <v>970</v>
      </c>
      <c r="G50" s="15">
        <v>20256</v>
      </c>
    </row>
    <row r="51" spans="2:7" outlineLevel="1" x14ac:dyDescent="0.2">
      <c r="B51" s="47">
        <v>44913</v>
      </c>
      <c r="C51" s="15" t="s">
        <v>971</v>
      </c>
      <c r="D51" s="15" t="s">
        <v>972</v>
      </c>
      <c r="E51" s="15" t="s">
        <v>963</v>
      </c>
      <c r="F51" s="15" t="s">
        <v>957</v>
      </c>
      <c r="G51" s="15">
        <v>14769</v>
      </c>
    </row>
    <row r="52" spans="2:7" outlineLevel="1" x14ac:dyDescent="0.2">
      <c r="B52" s="47">
        <v>44724</v>
      </c>
      <c r="C52" s="15" t="s">
        <v>973</v>
      </c>
      <c r="D52" s="15" t="s">
        <v>974</v>
      </c>
      <c r="E52" s="15" t="s">
        <v>969</v>
      </c>
      <c r="F52" s="15" t="s">
        <v>960</v>
      </c>
      <c r="G52" s="15">
        <v>41397</v>
      </c>
    </row>
    <row r="53" spans="2:7" outlineLevel="1" x14ac:dyDescent="0.2">
      <c r="B53" s="47">
        <v>44732</v>
      </c>
      <c r="C53" s="15" t="s">
        <v>975</v>
      </c>
      <c r="D53" s="15" t="s">
        <v>976</v>
      </c>
      <c r="E53" s="15" t="s">
        <v>963</v>
      </c>
      <c r="F53" s="15" t="s">
        <v>957</v>
      </c>
      <c r="G53" s="15">
        <v>46233</v>
      </c>
    </row>
    <row r="54" spans="2:7" outlineLevel="1" x14ac:dyDescent="0.2">
      <c r="B54" s="47">
        <v>44806</v>
      </c>
      <c r="C54" s="15" t="s">
        <v>977</v>
      </c>
      <c r="D54" s="15" t="s">
        <v>978</v>
      </c>
      <c r="E54" s="15" t="s">
        <v>963</v>
      </c>
      <c r="F54" s="15" t="s">
        <v>979</v>
      </c>
      <c r="G54" s="15">
        <v>27337</v>
      </c>
    </row>
    <row r="55" spans="2:7" outlineLevel="1" x14ac:dyDescent="0.2">
      <c r="B55" s="47">
        <v>45022</v>
      </c>
      <c r="C55" s="15" t="s">
        <v>980</v>
      </c>
      <c r="D55" s="15" t="s">
        <v>981</v>
      </c>
      <c r="E55" s="15" t="s">
        <v>963</v>
      </c>
      <c r="F55" s="15" t="s">
        <v>964</v>
      </c>
      <c r="G55" s="15">
        <v>16309</v>
      </c>
    </row>
    <row r="56" spans="2:7" outlineLevel="1" x14ac:dyDescent="0.2">
      <c r="B56" s="47">
        <v>44997</v>
      </c>
      <c r="C56" s="15" t="s">
        <v>982</v>
      </c>
      <c r="D56" s="15" t="s">
        <v>983</v>
      </c>
      <c r="E56" s="15" t="s">
        <v>969</v>
      </c>
      <c r="F56" s="15" t="s">
        <v>970</v>
      </c>
      <c r="G56" s="15">
        <v>41259</v>
      </c>
    </row>
    <row r="57" spans="2:7" outlineLevel="1" x14ac:dyDescent="0.2">
      <c r="B57" s="47">
        <v>44955</v>
      </c>
      <c r="C57" s="15" t="s">
        <v>984</v>
      </c>
      <c r="D57" s="15" t="s">
        <v>985</v>
      </c>
      <c r="E57" s="15" t="s">
        <v>986</v>
      </c>
      <c r="F57" s="15" t="s">
        <v>970</v>
      </c>
      <c r="G57" s="15">
        <v>48224</v>
      </c>
    </row>
    <row r="58" spans="2:7" outlineLevel="1" x14ac:dyDescent="0.2">
      <c r="B58" s="47">
        <v>44710</v>
      </c>
      <c r="C58" s="15" t="s">
        <v>987</v>
      </c>
      <c r="D58" s="15" t="s">
        <v>988</v>
      </c>
      <c r="E58" s="15" t="s">
        <v>963</v>
      </c>
      <c r="F58" s="15" t="s">
        <v>957</v>
      </c>
      <c r="G58" s="15">
        <v>36409</v>
      </c>
    </row>
    <row r="59" spans="2:7" outlineLevel="1" x14ac:dyDescent="0.2">
      <c r="B59" s="47">
        <v>44785</v>
      </c>
      <c r="C59" s="15" t="s">
        <v>989</v>
      </c>
      <c r="D59" s="15" t="s">
        <v>990</v>
      </c>
      <c r="E59" s="15" t="s">
        <v>986</v>
      </c>
      <c r="F59" s="15" t="s">
        <v>960</v>
      </c>
      <c r="G59" s="15">
        <v>29628</v>
      </c>
    </row>
    <row r="60" spans="2:7" outlineLevel="1" x14ac:dyDescent="0.2">
      <c r="B60" s="47">
        <v>45022</v>
      </c>
      <c r="C60" s="15" t="s">
        <v>991</v>
      </c>
      <c r="D60" s="15" t="s">
        <v>992</v>
      </c>
      <c r="E60" s="15" t="s">
        <v>993</v>
      </c>
      <c r="F60" s="15" t="s">
        <v>957</v>
      </c>
      <c r="G60" s="15">
        <v>10313</v>
      </c>
    </row>
    <row r="61" spans="2:7" outlineLevel="1" x14ac:dyDescent="0.2">
      <c r="B61" s="47">
        <v>44916</v>
      </c>
      <c r="C61" s="15" t="s">
        <v>994</v>
      </c>
      <c r="D61" s="15" t="s">
        <v>995</v>
      </c>
      <c r="E61" s="15" t="s">
        <v>969</v>
      </c>
      <c r="F61" s="15" t="s">
        <v>979</v>
      </c>
      <c r="G61" s="15">
        <v>36607</v>
      </c>
    </row>
    <row r="62" spans="2:7" outlineLevel="1" x14ac:dyDescent="0.2">
      <c r="B62" s="47">
        <v>44785</v>
      </c>
      <c r="C62" s="15" t="s">
        <v>996</v>
      </c>
      <c r="D62" s="15" t="s">
        <v>997</v>
      </c>
      <c r="E62" s="15" t="s">
        <v>956</v>
      </c>
      <c r="F62" s="15" t="s">
        <v>957</v>
      </c>
      <c r="G62" s="15">
        <v>39916</v>
      </c>
    </row>
    <row r="70" outlineLevel="1" x14ac:dyDescent="0.2"/>
    <row r="71" outlineLevel="1" x14ac:dyDescent="0.2"/>
    <row r="72" outlineLevel="1" x14ac:dyDescent="0.2"/>
    <row r="73" outlineLevel="1" x14ac:dyDescent="0.2"/>
    <row r="74" outlineLevel="1" x14ac:dyDescent="0.2"/>
    <row r="75" outlineLevel="1" x14ac:dyDescent="0.2"/>
    <row r="76" outlineLevel="1" x14ac:dyDescent="0.2"/>
    <row r="77" outlineLevel="1" x14ac:dyDescent="0.2"/>
    <row r="78" outlineLevel="1" x14ac:dyDescent="0.2"/>
    <row r="79" outlineLevel="1" x14ac:dyDescent="0.2"/>
    <row r="80" outlineLevel="1" x14ac:dyDescent="0.2"/>
    <row r="81" spans="2:9" outlineLevel="1" x14ac:dyDescent="0.2"/>
    <row r="82" spans="2:9" outlineLevel="1" x14ac:dyDescent="0.2"/>
    <row r="83" spans="2:9" outlineLevel="1" x14ac:dyDescent="0.2"/>
    <row r="84" spans="2:9" outlineLevel="1" x14ac:dyDescent="0.2"/>
    <row r="85" spans="2:9" outlineLevel="1" x14ac:dyDescent="0.2"/>
    <row r="86" spans="2:9" outlineLevel="1" x14ac:dyDescent="0.2"/>
    <row r="87" spans="2:9" outlineLevel="1" x14ac:dyDescent="0.2"/>
    <row r="88" spans="2:9" outlineLevel="1" x14ac:dyDescent="0.2"/>
    <row r="89" spans="2:9" ht="15" outlineLevel="1" x14ac:dyDescent="0.25">
      <c r="B89" s="4" t="s">
        <v>943</v>
      </c>
    </row>
    <row r="90" spans="2:9" outlineLevel="1" x14ac:dyDescent="0.2"/>
    <row r="91" spans="2:9" ht="15" outlineLevel="1" x14ac:dyDescent="0.25">
      <c r="B91" s="21" t="s">
        <v>923</v>
      </c>
      <c r="C91" s="21" t="s">
        <v>924</v>
      </c>
      <c r="D91" s="21" t="s">
        <v>925</v>
      </c>
      <c r="E91" s="21" t="s">
        <v>926</v>
      </c>
      <c r="F91" s="21" t="s">
        <v>927</v>
      </c>
      <c r="G91" s="21" t="s">
        <v>928</v>
      </c>
      <c r="I91" s="21" t="s">
        <v>944</v>
      </c>
    </row>
    <row r="92" spans="2:9" outlineLevel="1" x14ac:dyDescent="0.2">
      <c r="B92" s="50">
        <v>44627</v>
      </c>
      <c r="C92" s="15" t="s">
        <v>929</v>
      </c>
      <c r="D92" s="15" t="s">
        <v>930</v>
      </c>
      <c r="E92" s="15">
        <v>20</v>
      </c>
      <c r="F92" s="15">
        <v>13</v>
      </c>
      <c r="G92" s="15">
        <v>260</v>
      </c>
      <c r="I92" s="42">
        <f>SUMIFS(G91:G103,D91:D103,"FASTFOOD",C91:C103,"PANIPURI")</f>
        <v>400</v>
      </c>
    </row>
    <row r="93" spans="2:9" outlineLevel="1" x14ac:dyDescent="0.2">
      <c r="B93" s="50" t="s">
        <v>931</v>
      </c>
      <c r="C93" s="15" t="s">
        <v>932</v>
      </c>
      <c r="D93" s="15" t="s">
        <v>930</v>
      </c>
      <c r="E93" s="15">
        <v>20</v>
      </c>
      <c r="F93" s="15">
        <v>15</v>
      </c>
      <c r="G93" s="15">
        <v>300</v>
      </c>
    </row>
    <row r="94" spans="2:9" outlineLevel="1" x14ac:dyDescent="0.2">
      <c r="B94" s="50" t="s">
        <v>933</v>
      </c>
      <c r="C94" s="15" t="s">
        <v>932</v>
      </c>
      <c r="D94" s="15" t="s">
        <v>930</v>
      </c>
      <c r="E94" s="15">
        <v>20</v>
      </c>
      <c r="F94" s="15">
        <v>1</v>
      </c>
      <c r="G94" s="15">
        <v>20</v>
      </c>
    </row>
    <row r="95" spans="2:9" outlineLevel="1" x14ac:dyDescent="0.2">
      <c r="B95" s="50">
        <v>44987</v>
      </c>
      <c r="C95" s="15" t="s">
        <v>934</v>
      </c>
      <c r="D95" s="15" t="s">
        <v>935</v>
      </c>
      <c r="E95" s="15">
        <v>25</v>
      </c>
      <c r="F95" s="15">
        <v>6</v>
      </c>
      <c r="G95" s="15">
        <v>150</v>
      </c>
    </row>
    <row r="96" spans="2:9" outlineLevel="1" x14ac:dyDescent="0.2">
      <c r="B96" s="50">
        <v>44602</v>
      </c>
      <c r="C96" s="15" t="s">
        <v>934</v>
      </c>
      <c r="D96" s="15" t="s">
        <v>935</v>
      </c>
      <c r="E96" s="15">
        <v>25</v>
      </c>
      <c r="F96" s="15">
        <v>8</v>
      </c>
      <c r="G96" s="15">
        <v>200</v>
      </c>
    </row>
    <row r="97" spans="2:7" outlineLevel="1" x14ac:dyDescent="0.2">
      <c r="B97" s="50" t="s">
        <v>937</v>
      </c>
      <c r="C97" s="15" t="s">
        <v>932</v>
      </c>
      <c r="D97" s="15" t="s">
        <v>930</v>
      </c>
      <c r="E97" s="15">
        <v>20</v>
      </c>
      <c r="F97" s="15">
        <v>10</v>
      </c>
      <c r="G97" s="15">
        <v>200</v>
      </c>
    </row>
    <row r="98" spans="2:7" outlineLevel="1" x14ac:dyDescent="0.2">
      <c r="B98" s="50">
        <v>44625</v>
      </c>
      <c r="C98" s="15" t="s">
        <v>934</v>
      </c>
      <c r="D98" s="15" t="s">
        <v>935</v>
      </c>
      <c r="E98" s="15">
        <v>25</v>
      </c>
      <c r="F98" s="15">
        <v>9</v>
      </c>
      <c r="G98" s="15">
        <v>225</v>
      </c>
    </row>
    <row r="99" spans="2:7" outlineLevel="1" x14ac:dyDescent="0.2">
      <c r="B99" s="50" t="s">
        <v>938</v>
      </c>
      <c r="C99" s="15" t="s">
        <v>939</v>
      </c>
      <c r="D99" s="15" t="s">
        <v>930</v>
      </c>
      <c r="E99" s="15">
        <v>20</v>
      </c>
      <c r="F99" s="15">
        <v>14</v>
      </c>
      <c r="G99" s="15">
        <v>280</v>
      </c>
    </row>
    <row r="100" spans="2:7" outlineLevel="1" x14ac:dyDescent="0.2">
      <c r="B100" s="50">
        <v>44840</v>
      </c>
      <c r="C100" s="15" t="s">
        <v>939</v>
      </c>
      <c r="D100" s="15" t="s">
        <v>930</v>
      </c>
      <c r="E100" s="15">
        <v>20</v>
      </c>
      <c r="F100" s="15">
        <v>1</v>
      </c>
      <c r="G100" s="15">
        <v>20</v>
      </c>
    </row>
    <row r="101" spans="2:7" outlineLevel="1" x14ac:dyDescent="0.2">
      <c r="B101" s="50" t="s">
        <v>940</v>
      </c>
      <c r="C101" s="15" t="s">
        <v>939</v>
      </c>
      <c r="D101" s="15" t="s">
        <v>930</v>
      </c>
      <c r="E101" s="15">
        <v>20</v>
      </c>
      <c r="F101" s="15">
        <v>5</v>
      </c>
      <c r="G101" s="15">
        <v>100</v>
      </c>
    </row>
    <row r="102" spans="2:7" outlineLevel="1" x14ac:dyDescent="0.2">
      <c r="B102" s="50">
        <v>44573</v>
      </c>
      <c r="C102" s="15" t="s">
        <v>941</v>
      </c>
      <c r="D102" s="15" t="s">
        <v>930</v>
      </c>
      <c r="E102" s="15">
        <v>50</v>
      </c>
      <c r="F102" s="15">
        <v>8</v>
      </c>
      <c r="G102" s="15">
        <v>400</v>
      </c>
    </row>
    <row r="103" spans="2:7" outlineLevel="1" x14ac:dyDescent="0.2">
      <c r="B103" s="50">
        <v>44902</v>
      </c>
      <c r="C103" s="15" t="s">
        <v>932</v>
      </c>
      <c r="D103" s="15" t="s">
        <v>930</v>
      </c>
      <c r="E103" s="15">
        <v>20</v>
      </c>
      <c r="F103" s="15">
        <v>8</v>
      </c>
      <c r="G103" s="15">
        <v>160</v>
      </c>
    </row>
    <row r="104" spans="2:7" outlineLevel="1" x14ac:dyDescent="0.2"/>
    <row r="105" spans="2:7" outlineLevel="1" x14ac:dyDescent="0.2"/>
    <row r="106" spans="2:7" outlineLevel="1" x14ac:dyDescent="0.2"/>
    <row r="107" spans="2:7" outlineLevel="1" x14ac:dyDescent="0.2"/>
    <row r="108" spans="2:7" ht="15" outlineLevel="1" x14ac:dyDescent="0.25">
      <c r="B108" s="4" t="s">
        <v>947</v>
      </c>
    </row>
    <row r="109" spans="2:7" outlineLevel="1" x14ac:dyDescent="0.2">
      <c r="B109" s="2" t="s">
        <v>948</v>
      </c>
    </row>
    <row r="110" spans="2:7" outlineLevel="1" x14ac:dyDescent="0.2"/>
    <row r="111" spans="2:7" outlineLevel="1" x14ac:dyDescent="0.2"/>
    <row r="112" spans="2:7" outlineLevel="1" x14ac:dyDescent="0.2"/>
    <row r="113" spans="2:9" outlineLevel="1" x14ac:dyDescent="0.2"/>
    <row r="114" spans="2:9" ht="15" outlineLevel="1" x14ac:dyDescent="0.25">
      <c r="B114" s="21" t="s">
        <v>742</v>
      </c>
      <c r="C114" s="21" t="s">
        <v>949</v>
      </c>
      <c r="D114" s="21" t="s">
        <v>950</v>
      </c>
      <c r="E114" s="21" t="s">
        <v>951</v>
      </c>
      <c r="F114" s="21" t="s">
        <v>952</v>
      </c>
      <c r="G114" s="21" t="s">
        <v>953</v>
      </c>
      <c r="I114" s="21" t="s">
        <v>999</v>
      </c>
    </row>
    <row r="115" spans="2:9" outlineLevel="1" x14ac:dyDescent="0.2">
      <c r="B115" s="47">
        <v>44774</v>
      </c>
      <c r="C115" s="15" t="s">
        <v>954</v>
      </c>
      <c r="D115" s="15" t="s">
        <v>955</v>
      </c>
      <c r="E115" s="15" t="s">
        <v>956</v>
      </c>
      <c r="F115" s="15" t="s">
        <v>957</v>
      </c>
      <c r="G115" s="15">
        <v>15983</v>
      </c>
      <c r="I115" s="42">
        <f>SUMIFS(G115:G131,E115:E131,"Honda",F115:F131,"Silverado")</f>
        <v>61515</v>
      </c>
    </row>
    <row r="116" spans="2:9" outlineLevel="1" x14ac:dyDescent="0.2">
      <c r="B116" s="47">
        <v>45000</v>
      </c>
      <c r="C116" s="15" t="s">
        <v>958</v>
      </c>
      <c r="D116" s="15" t="s">
        <v>959</v>
      </c>
      <c r="E116" s="15" t="s">
        <v>956</v>
      </c>
      <c r="F116" s="15" t="s">
        <v>960</v>
      </c>
      <c r="G116" s="15">
        <v>38474</v>
      </c>
    </row>
    <row r="117" spans="2:9" outlineLevel="1" x14ac:dyDescent="0.2">
      <c r="B117" s="47">
        <v>45045</v>
      </c>
      <c r="C117" s="15" t="s">
        <v>961</v>
      </c>
      <c r="D117" s="15" t="s">
        <v>962</v>
      </c>
      <c r="E117" s="15" t="s">
        <v>963</v>
      </c>
      <c r="F117" s="15" t="s">
        <v>964</v>
      </c>
      <c r="G117" s="15">
        <v>33340</v>
      </c>
    </row>
    <row r="118" spans="2:9" outlineLevel="1" x14ac:dyDescent="0.2">
      <c r="B118" s="47">
        <v>44808</v>
      </c>
      <c r="C118" s="15" t="s">
        <v>965</v>
      </c>
      <c r="D118" s="15" t="s">
        <v>966</v>
      </c>
      <c r="E118" s="15" t="s">
        <v>963</v>
      </c>
      <c r="F118" s="15" t="s">
        <v>957</v>
      </c>
      <c r="G118" s="15">
        <v>41937</v>
      </c>
    </row>
    <row r="119" spans="2:9" outlineLevel="1" x14ac:dyDescent="0.2">
      <c r="B119" s="47">
        <v>44728</v>
      </c>
      <c r="C119" s="15" t="s">
        <v>967</v>
      </c>
      <c r="D119" s="15" t="s">
        <v>968</v>
      </c>
      <c r="E119" s="15" t="s">
        <v>969</v>
      </c>
      <c r="F119" s="15" t="s">
        <v>970</v>
      </c>
      <c r="G119" s="15">
        <v>20256</v>
      </c>
    </row>
    <row r="120" spans="2:9" outlineLevel="1" x14ac:dyDescent="0.2">
      <c r="B120" s="47">
        <v>44913</v>
      </c>
      <c r="C120" s="15" t="s">
        <v>971</v>
      </c>
      <c r="D120" s="15" t="s">
        <v>972</v>
      </c>
      <c r="E120" s="15" t="s">
        <v>963</v>
      </c>
      <c r="F120" s="15" t="s">
        <v>957</v>
      </c>
      <c r="G120" s="15">
        <v>14769</v>
      </c>
    </row>
    <row r="121" spans="2:9" outlineLevel="1" x14ac:dyDescent="0.2">
      <c r="B121" s="47">
        <v>44724</v>
      </c>
      <c r="C121" s="15" t="s">
        <v>973</v>
      </c>
      <c r="D121" s="15" t="s">
        <v>974</v>
      </c>
      <c r="E121" s="15" t="s">
        <v>969</v>
      </c>
      <c r="F121" s="15" t="s">
        <v>960</v>
      </c>
      <c r="G121" s="15">
        <v>41397</v>
      </c>
    </row>
    <row r="122" spans="2:9" outlineLevel="1" x14ac:dyDescent="0.2">
      <c r="B122" s="47">
        <v>44732</v>
      </c>
      <c r="C122" s="15" t="s">
        <v>975</v>
      </c>
      <c r="D122" s="15" t="s">
        <v>976</v>
      </c>
      <c r="E122" s="15" t="s">
        <v>963</v>
      </c>
      <c r="F122" s="15" t="s">
        <v>957</v>
      </c>
      <c r="G122" s="15">
        <v>46233</v>
      </c>
    </row>
    <row r="123" spans="2:9" outlineLevel="1" x14ac:dyDescent="0.2">
      <c r="B123" s="47">
        <v>44806</v>
      </c>
      <c r="C123" s="15" t="s">
        <v>977</v>
      </c>
      <c r="D123" s="15" t="s">
        <v>978</v>
      </c>
      <c r="E123" s="15" t="s">
        <v>963</v>
      </c>
      <c r="F123" s="15" t="s">
        <v>979</v>
      </c>
      <c r="G123" s="15">
        <v>27337</v>
      </c>
    </row>
    <row r="124" spans="2:9" outlineLevel="1" x14ac:dyDescent="0.2">
      <c r="B124" s="47">
        <v>45022</v>
      </c>
      <c r="C124" s="15" t="s">
        <v>980</v>
      </c>
      <c r="D124" s="15" t="s">
        <v>981</v>
      </c>
      <c r="E124" s="15" t="s">
        <v>963</v>
      </c>
      <c r="F124" s="15" t="s">
        <v>964</v>
      </c>
      <c r="G124" s="15">
        <v>16309</v>
      </c>
    </row>
    <row r="125" spans="2:9" outlineLevel="1" x14ac:dyDescent="0.2">
      <c r="B125" s="47">
        <v>44997</v>
      </c>
      <c r="C125" s="15" t="s">
        <v>982</v>
      </c>
      <c r="D125" s="15" t="s">
        <v>983</v>
      </c>
      <c r="E125" s="15" t="s">
        <v>969</v>
      </c>
      <c r="F125" s="15" t="s">
        <v>970</v>
      </c>
      <c r="G125" s="15">
        <v>41259</v>
      </c>
    </row>
    <row r="126" spans="2:9" outlineLevel="1" x14ac:dyDescent="0.2">
      <c r="B126" s="47">
        <v>44955</v>
      </c>
      <c r="C126" s="15" t="s">
        <v>984</v>
      </c>
      <c r="D126" s="15" t="s">
        <v>985</v>
      </c>
      <c r="E126" s="15" t="s">
        <v>986</v>
      </c>
      <c r="F126" s="15" t="s">
        <v>970</v>
      </c>
      <c r="G126" s="15">
        <v>48224</v>
      </c>
    </row>
    <row r="127" spans="2:9" outlineLevel="1" x14ac:dyDescent="0.2">
      <c r="B127" s="47">
        <v>44710</v>
      </c>
      <c r="C127" s="15" t="s">
        <v>987</v>
      </c>
      <c r="D127" s="15" t="s">
        <v>988</v>
      </c>
      <c r="E127" s="15" t="s">
        <v>963</v>
      </c>
      <c r="F127" s="15" t="s">
        <v>957</v>
      </c>
      <c r="G127" s="15">
        <v>36409</v>
      </c>
    </row>
    <row r="128" spans="2:9" outlineLevel="1" x14ac:dyDescent="0.2">
      <c r="B128" s="47">
        <v>44785</v>
      </c>
      <c r="C128" s="15" t="s">
        <v>989</v>
      </c>
      <c r="D128" s="15" t="s">
        <v>990</v>
      </c>
      <c r="E128" s="15" t="s">
        <v>986</v>
      </c>
      <c r="F128" s="15" t="s">
        <v>960</v>
      </c>
      <c r="G128" s="15">
        <v>29628</v>
      </c>
    </row>
    <row r="129" spans="2:7" outlineLevel="1" x14ac:dyDescent="0.2">
      <c r="B129" s="47">
        <v>45022</v>
      </c>
      <c r="C129" s="15" t="s">
        <v>991</v>
      </c>
      <c r="D129" s="15" t="s">
        <v>992</v>
      </c>
      <c r="E129" s="15" t="s">
        <v>993</v>
      </c>
      <c r="F129" s="15" t="s">
        <v>957</v>
      </c>
      <c r="G129" s="15">
        <v>10313</v>
      </c>
    </row>
    <row r="130" spans="2:7" outlineLevel="1" x14ac:dyDescent="0.2">
      <c r="B130" s="47">
        <v>44916</v>
      </c>
      <c r="C130" s="15" t="s">
        <v>994</v>
      </c>
      <c r="D130" s="15" t="s">
        <v>995</v>
      </c>
      <c r="E130" s="15" t="s">
        <v>969</v>
      </c>
      <c r="F130" s="15" t="s">
        <v>979</v>
      </c>
      <c r="G130" s="15">
        <v>36607</v>
      </c>
    </row>
    <row r="131" spans="2:7" outlineLevel="1" x14ac:dyDescent="0.2">
      <c r="B131" s="47">
        <v>44785</v>
      </c>
      <c r="C131" s="15" t="s">
        <v>996</v>
      </c>
      <c r="D131" s="15" t="s">
        <v>997</v>
      </c>
      <c r="E131" s="15" t="s">
        <v>956</v>
      </c>
      <c r="F131" s="15" t="s">
        <v>957</v>
      </c>
      <c r="G131" s="15">
        <v>39916</v>
      </c>
    </row>
    <row r="132" spans="2:7" x14ac:dyDescent="0.2">
      <c r="C132" s="3"/>
    </row>
    <row r="133" spans="2:7" x14ac:dyDescent="0.2">
      <c r="C133" s="3"/>
    </row>
    <row r="134" spans="2:7" x14ac:dyDescent="0.2">
      <c r="C134" s="3"/>
    </row>
    <row r="135" spans="2:7" x14ac:dyDescent="0.2">
      <c r="C135" s="3"/>
    </row>
    <row r="136" spans="2:7" outlineLevel="1" x14ac:dyDescent="0.2">
      <c r="C136" s="3"/>
    </row>
    <row r="137" spans="2:7" outlineLevel="1" x14ac:dyDescent="0.2">
      <c r="C137" s="3"/>
    </row>
    <row r="138" spans="2:7" outlineLevel="1" x14ac:dyDescent="0.2">
      <c r="C138" s="29"/>
    </row>
    <row r="139" spans="2:7" outlineLevel="1" x14ac:dyDescent="0.2">
      <c r="C139" s="3"/>
    </row>
    <row r="140" spans="2:7" outlineLevel="1" x14ac:dyDescent="0.2">
      <c r="C140" s="29"/>
    </row>
    <row r="141" spans="2:7" ht="15" outlineLevel="1" x14ac:dyDescent="0.25">
      <c r="B141" s="4"/>
      <c r="C141" s="29"/>
    </row>
    <row r="142" spans="2:7" outlineLevel="1" x14ac:dyDescent="0.2"/>
    <row r="143" spans="2:7" outlineLevel="1" x14ac:dyDescent="0.2"/>
    <row r="144" spans="2:7" outlineLevel="1" x14ac:dyDescent="0.2">
      <c r="C144" s="30"/>
    </row>
    <row r="145" spans="2:9" outlineLevel="1" x14ac:dyDescent="0.2">
      <c r="C145" s="30"/>
    </row>
    <row r="146" spans="2:9" outlineLevel="1" x14ac:dyDescent="0.2">
      <c r="C146" s="30"/>
    </row>
    <row r="147" spans="2:9" outlineLevel="1" x14ac:dyDescent="0.2">
      <c r="C147" s="30"/>
    </row>
    <row r="148" spans="2:9" outlineLevel="1" x14ac:dyDescent="0.2">
      <c r="C148" s="30"/>
    </row>
    <row r="149" spans="2:9" outlineLevel="1" x14ac:dyDescent="0.2">
      <c r="C149" s="29"/>
      <c r="D149" s="2" t="s">
        <v>444</v>
      </c>
    </row>
    <row r="150" spans="2:9" outlineLevel="1" x14ac:dyDescent="0.2">
      <c r="C150" s="30"/>
    </row>
    <row r="151" spans="2:9" outlineLevel="1" x14ac:dyDescent="0.2"/>
    <row r="152" spans="2:9" outlineLevel="1" x14ac:dyDescent="0.2"/>
    <row r="153" spans="2:9" outlineLevel="1" x14ac:dyDescent="0.2"/>
    <row r="154" spans="2:9" outlineLevel="1" x14ac:dyDescent="0.2"/>
    <row r="155" spans="2:9" ht="15" outlineLevel="1" x14ac:dyDescent="0.25">
      <c r="B155" s="4" t="s">
        <v>943</v>
      </c>
    </row>
    <row r="156" spans="2:9" outlineLevel="1" x14ac:dyDescent="0.2"/>
    <row r="157" spans="2:9" ht="15" outlineLevel="1" x14ac:dyDescent="0.25">
      <c r="B157" s="21" t="s">
        <v>923</v>
      </c>
      <c r="C157" s="21" t="s">
        <v>924</v>
      </c>
      <c r="D157" s="21" t="s">
        <v>925</v>
      </c>
      <c r="E157" s="21" t="s">
        <v>926</v>
      </c>
      <c r="F157" s="21" t="s">
        <v>927</v>
      </c>
      <c r="G157" s="21" t="s">
        <v>928</v>
      </c>
      <c r="I157" s="21" t="s">
        <v>945</v>
      </c>
    </row>
    <row r="158" spans="2:9" outlineLevel="1" x14ac:dyDescent="0.2">
      <c r="B158" s="50">
        <v>44627</v>
      </c>
      <c r="C158" s="15" t="s">
        <v>929</v>
      </c>
      <c r="D158" s="15" t="s">
        <v>930</v>
      </c>
      <c r="E158" s="15">
        <v>20</v>
      </c>
      <c r="F158" s="15">
        <v>13</v>
      </c>
      <c r="G158" s="15">
        <v>260</v>
      </c>
      <c r="I158" s="42">
        <f>AVERAGEIF(D157:D169,"Beverages",G157:G169)</f>
        <v>191.66666666666666</v>
      </c>
    </row>
    <row r="159" spans="2:9" outlineLevel="1" x14ac:dyDescent="0.2">
      <c r="B159" s="50" t="s">
        <v>931</v>
      </c>
      <c r="C159" s="15" t="s">
        <v>932</v>
      </c>
      <c r="D159" s="15" t="s">
        <v>930</v>
      </c>
      <c r="E159" s="15">
        <v>20</v>
      </c>
      <c r="F159" s="15">
        <v>15</v>
      </c>
      <c r="G159" s="15">
        <v>300</v>
      </c>
    </row>
    <row r="160" spans="2:9" outlineLevel="1" x14ac:dyDescent="0.2">
      <c r="B160" s="50" t="s">
        <v>933</v>
      </c>
      <c r="C160" s="15" t="s">
        <v>932</v>
      </c>
      <c r="D160" s="15" t="s">
        <v>930</v>
      </c>
      <c r="E160" s="15">
        <v>20</v>
      </c>
      <c r="F160" s="15">
        <v>1</v>
      </c>
      <c r="G160" s="15">
        <v>20</v>
      </c>
    </row>
    <row r="161" spans="2:7" outlineLevel="1" x14ac:dyDescent="0.2">
      <c r="B161" s="50">
        <v>44987</v>
      </c>
      <c r="C161" s="15" t="s">
        <v>934</v>
      </c>
      <c r="D161" s="15" t="s">
        <v>935</v>
      </c>
      <c r="E161" s="15">
        <v>25</v>
      </c>
      <c r="F161" s="15">
        <v>6</v>
      </c>
      <c r="G161" s="15">
        <v>150</v>
      </c>
    </row>
    <row r="162" spans="2:7" outlineLevel="1" x14ac:dyDescent="0.2">
      <c r="B162" s="50">
        <v>44602</v>
      </c>
      <c r="C162" s="15" t="s">
        <v>934</v>
      </c>
      <c r="D162" s="15" t="s">
        <v>935</v>
      </c>
      <c r="E162" s="15">
        <v>25</v>
      </c>
      <c r="F162" s="15">
        <v>8</v>
      </c>
      <c r="G162" s="15">
        <v>200</v>
      </c>
    </row>
    <row r="163" spans="2:7" outlineLevel="1" x14ac:dyDescent="0.2">
      <c r="B163" s="50" t="s">
        <v>937</v>
      </c>
      <c r="C163" s="15" t="s">
        <v>932</v>
      </c>
      <c r="D163" s="15" t="s">
        <v>930</v>
      </c>
      <c r="E163" s="15">
        <v>20</v>
      </c>
      <c r="F163" s="15">
        <v>10</v>
      </c>
      <c r="G163" s="15">
        <v>200</v>
      </c>
    </row>
    <row r="164" spans="2:7" outlineLevel="1" x14ac:dyDescent="0.2">
      <c r="B164" s="50">
        <v>44625</v>
      </c>
      <c r="C164" s="15" t="s">
        <v>934</v>
      </c>
      <c r="D164" s="15" t="s">
        <v>935</v>
      </c>
      <c r="E164" s="15">
        <v>25</v>
      </c>
      <c r="F164" s="15">
        <v>9</v>
      </c>
      <c r="G164" s="15">
        <v>225</v>
      </c>
    </row>
    <row r="165" spans="2:7" outlineLevel="1" x14ac:dyDescent="0.2">
      <c r="B165" s="50" t="s">
        <v>938</v>
      </c>
      <c r="C165" s="15" t="s">
        <v>939</v>
      </c>
      <c r="D165" s="15" t="s">
        <v>930</v>
      </c>
      <c r="E165" s="15">
        <v>20</v>
      </c>
      <c r="F165" s="15">
        <v>14</v>
      </c>
      <c r="G165" s="15">
        <v>280</v>
      </c>
    </row>
    <row r="166" spans="2:7" outlineLevel="1" x14ac:dyDescent="0.2">
      <c r="B166" s="50">
        <v>44840</v>
      </c>
      <c r="C166" s="15" t="s">
        <v>939</v>
      </c>
      <c r="D166" s="15" t="s">
        <v>930</v>
      </c>
      <c r="E166" s="15">
        <v>20</v>
      </c>
      <c r="F166" s="15">
        <v>1</v>
      </c>
      <c r="G166" s="15">
        <v>20</v>
      </c>
    </row>
    <row r="167" spans="2:7" outlineLevel="1" x14ac:dyDescent="0.2">
      <c r="B167" s="50" t="s">
        <v>940</v>
      </c>
      <c r="C167" s="15" t="s">
        <v>939</v>
      </c>
      <c r="D167" s="15" t="s">
        <v>930</v>
      </c>
      <c r="E167" s="15">
        <v>20</v>
      </c>
      <c r="F167" s="15">
        <v>5</v>
      </c>
      <c r="G167" s="15">
        <v>100</v>
      </c>
    </row>
    <row r="168" spans="2:7" outlineLevel="1" x14ac:dyDescent="0.2">
      <c r="B168" s="50">
        <v>44573</v>
      </c>
      <c r="C168" s="15" t="s">
        <v>941</v>
      </c>
      <c r="D168" s="15" t="s">
        <v>930</v>
      </c>
      <c r="E168" s="15">
        <v>50</v>
      </c>
      <c r="F168" s="15">
        <v>8</v>
      </c>
      <c r="G168" s="15">
        <v>400</v>
      </c>
    </row>
    <row r="169" spans="2:7" outlineLevel="1" x14ac:dyDescent="0.2">
      <c r="B169" s="50">
        <v>44902</v>
      </c>
      <c r="C169" s="15" t="s">
        <v>932</v>
      </c>
      <c r="D169" s="15" t="s">
        <v>930</v>
      </c>
      <c r="E169" s="15">
        <v>20</v>
      </c>
      <c r="F169" s="15">
        <v>8</v>
      </c>
      <c r="G169" s="15">
        <v>160</v>
      </c>
    </row>
    <row r="170" spans="2:7" outlineLevel="1" x14ac:dyDescent="0.2"/>
    <row r="171" spans="2:7" outlineLevel="1" x14ac:dyDescent="0.2"/>
    <row r="172" spans="2:7" outlineLevel="1" x14ac:dyDescent="0.2"/>
    <row r="173" spans="2:7" outlineLevel="1" x14ac:dyDescent="0.2"/>
    <row r="174" spans="2:7" outlineLevel="1" x14ac:dyDescent="0.2"/>
    <row r="175" spans="2:7" outlineLevel="1" x14ac:dyDescent="0.2"/>
    <row r="176" spans="2:7" ht="15" outlineLevel="1" x14ac:dyDescent="0.25">
      <c r="B176" s="4" t="s">
        <v>947</v>
      </c>
    </row>
    <row r="177" spans="2:9" outlineLevel="1" x14ac:dyDescent="0.2">
      <c r="B177" s="2" t="s">
        <v>948</v>
      </c>
    </row>
    <row r="178" spans="2:9" outlineLevel="1" x14ac:dyDescent="0.2"/>
    <row r="179" spans="2:9" outlineLevel="1" x14ac:dyDescent="0.2"/>
    <row r="180" spans="2:9" outlineLevel="1" x14ac:dyDescent="0.2"/>
    <row r="181" spans="2:9" outlineLevel="1" x14ac:dyDescent="0.2"/>
    <row r="182" spans="2:9" ht="15" outlineLevel="1" x14ac:dyDescent="0.25">
      <c r="B182" s="21" t="s">
        <v>742</v>
      </c>
      <c r="C182" s="21" t="s">
        <v>949</v>
      </c>
      <c r="D182" s="21" t="s">
        <v>950</v>
      </c>
      <c r="E182" s="21" t="s">
        <v>951</v>
      </c>
      <c r="F182" s="21" t="s">
        <v>952</v>
      </c>
      <c r="G182" s="21" t="s">
        <v>953</v>
      </c>
      <c r="I182" s="21" t="s">
        <v>1000</v>
      </c>
    </row>
    <row r="183" spans="2:9" outlineLevel="1" x14ac:dyDescent="0.2">
      <c r="B183" s="47">
        <v>44774</v>
      </c>
      <c r="C183" s="15" t="s">
        <v>954</v>
      </c>
      <c r="D183" s="15" t="s">
        <v>955</v>
      </c>
      <c r="E183" s="15" t="s">
        <v>956</v>
      </c>
      <c r="F183" s="15" t="s">
        <v>957</v>
      </c>
      <c r="G183" s="15">
        <v>15983</v>
      </c>
      <c r="I183" s="42">
        <f>AVERAGEIF(F183:F199,"Altima",G183:G199)</f>
        <v>29365.714285714286</v>
      </c>
    </row>
    <row r="184" spans="2:9" outlineLevel="1" x14ac:dyDescent="0.2">
      <c r="B184" s="47">
        <v>45000</v>
      </c>
      <c r="C184" s="15" t="s">
        <v>958</v>
      </c>
      <c r="D184" s="15" t="s">
        <v>959</v>
      </c>
      <c r="E184" s="15" t="s">
        <v>956</v>
      </c>
      <c r="F184" s="15" t="s">
        <v>960</v>
      </c>
      <c r="G184" s="15">
        <v>38474</v>
      </c>
    </row>
    <row r="185" spans="2:9" outlineLevel="1" x14ac:dyDescent="0.2">
      <c r="B185" s="47">
        <v>45045</v>
      </c>
      <c r="C185" s="15" t="s">
        <v>961</v>
      </c>
      <c r="D185" s="15" t="s">
        <v>962</v>
      </c>
      <c r="E185" s="15" t="s">
        <v>963</v>
      </c>
      <c r="F185" s="15" t="s">
        <v>964</v>
      </c>
      <c r="G185" s="15">
        <v>33340</v>
      </c>
    </row>
    <row r="186" spans="2:9" outlineLevel="1" x14ac:dyDescent="0.2">
      <c r="B186" s="47">
        <v>44808</v>
      </c>
      <c r="C186" s="15" t="s">
        <v>965</v>
      </c>
      <c r="D186" s="15" t="s">
        <v>966</v>
      </c>
      <c r="E186" s="15" t="s">
        <v>963</v>
      </c>
      <c r="F186" s="15" t="s">
        <v>957</v>
      </c>
      <c r="G186" s="15">
        <v>41937</v>
      </c>
    </row>
    <row r="187" spans="2:9" outlineLevel="1" x14ac:dyDescent="0.2">
      <c r="B187" s="47">
        <v>44728</v>
      </c>
      <c r="C187" s="15" t="s">
        <v>967</v>
      </c>
      <c r="D187" s="15" t="s">
        <v>968</v>
      </c>
      <c r="E187" s="15" t="s">
        <v>969</v>
      </c>
      <c r="F187" s="15" t="s">
        <v>970</v>
      </c>
      <c r="G187" s="15">
        <v>20256</v>
      </c>
    </row>
    <row r="188" spans="2:9" outlineLevel="1" x14ac:dyDescent="0.2">
      <c r="B188" s="47">
        <v>44913</v>
      </c>
      <c r="C188" s="15" t="s">
        <v>971</v>
      </c>
      <c r="D188" s="15" t="s">
        <v>972</v>
      </c>
      <c r="E188" s="15" t="s">
        <v>963</v>
      </c>
      <c r="F188" s="15" t="s">
        <v>957</v>
      </c>
      <c r="G188" s="15">
        <v>14769</v>
      </c>
    </row>
    <row r="189" spans="2:9" outlineLevel="1" x14ac:dyDescent="0.2">
      <c r="B189" s="47">
        <v>44724</v>
      </c>
      <c r="C189" s="15" t="s">
        <v>973</v>
      </c>
      <c r="D189" s="15" t="s">
        <v>974</v>
      </c>
      <c r="E189" s="15" t="s">
        <v>969</v>
      </c>
      <c r="F189" s="15" t="s">
        <v>960</v>
      </c>
      <c r="G189" s="15">
        <v>41397</v>
      </c>
    </row>
    <row r="190" spans="2:9" outlineLevel="1" x14ac:dyDescent="0.2">
      <c r="B190" s="47">
        <v>44732</v>
      </c>
      <c r="C190" s="15" t="s">
        <v>975</v>
      </c>
      <c r="D190" s="15" t="s">
        <v>976</v>
      </c>
      <c r="E190" s="15" t="s">
        <v>963</v>
      </c>
      <c r="F190" s="15" t="s">
        <v>957</v>
      </c>
      <c r="G190" s="15">
        <v>46233</v>
      </c>
    </row>
    <row r="191" spans="2:9" outlineLevel="1" x14ac:dyDescent="0.2">
      <c r="B191" s="47">
        <v>44806</v>
      </c>
      <c r="C191" s="15" t="s">
        <v>977</v>
      </c>
      <c r="D191" s="15" t="s">
        <v>978</v>
      </c>
      <c r="E191" s="15" t="s">
        <v>963</v>
      </c>
      <c r="F191" s="15" t="s">
        <v>979</v>
      </c>
      <c r="G191" s="15">
        <v>27337</v>
      </c>
    </row>
    <row r="192" spans="2:9" outlineLevel="1" x14ac:dyDescent="0.2">
      <c r="B192" s="47">
        <v>45022</v>
      </c>
      <c r="C192" s="15" t="s">
        <v>980</v>
      </c>
      <c r="D192" s="15" t="s">
        <v>981</v>
      </c>
      <c r="E192" s="15" t="s">
        <v>963</v>
      </c>
      <c r="F192" s="15" t="s">
        <v>964</v>
      </c>
      <c r="G192" s="15">
        <v>16309</v>
      </c>
    </row>
    <row r="193" spans="2:7" outlineLevel="1" x14ac:dyDescent="0.2">
      <c r="B193" s="47">
        <v>44997</v>
      </c>
      <c r="C193" s="15" t="s">
        <v>982</v>
      </c>
      <c r="D193" s="15" t="s">
        <v>983</v>
      </c>
      <c r="E193" s="15" t="s">
        <v>969</v>
      </c>
      <c r="F193" s="15" t="s">
        <v>970</v>
      </c>
      <c r="G193" s="15">
        <v>41259</v>
      </c>
    </row>
    <row r="194" spans="2:7" outlineLevel="1" x14ac:dyDescent="0.2">
      <c r="B194" s="47">
        <v>44955</v>
      </c>
      <c r="C194" s="15" t="s">
        <v>984</v>
      </c>
      <c r="D194" s="15" t="s">
        <v>985</v>
      </c>
      <c r="E194" s="15" t="s">
        <v>986</v>
      </c>
      <c r="F194" s="15" t="s">
        <v>970</v>
      </c>
      <c r="G194" s="15">
        <v>48224</v>
      </c>
    </row>
    <row r="195" spans="2:7" outlineLevel="1" x14ac:dyDescent="0.2">
      <c r="B195" s="47">
        <v>44710</v>
      </c>
      <c r="C195" s="15" t="s">
        <v>987</v>
      </c>
      <c r="D195" s="15" t="s">
        <v>988</v>
      </c>
      <c r="E195" s="15" t="s">
        <v>963</v>
      </c>
      <c r="F195" s="15" t="s">
        <v>957</v>
      </c>
      <c r="G195" s="15">
        <v>36409</v>
      </c>
    </row>
    <row r="196" spans="2:7" outlineLevel="1" x14ac:dyDescent="0.2">
      <c r="B196" s="47">
        <v>44785</v>
      </c>
      <c r="C196" s="15" t="s">
        <v>989</v>
      </c>
      <c r="D196" s="15" t="s">
        <v>990</v>
      </c>
      <c r="E196" s="15" t="s">
        <v>986</v>
      </c>
      <c r="F196" s="15" t="s">
        <v>960</v>
      </c>
      <c r="G196" s="15">
        <v>29628</v>
      </c>
    </row>
    <row r="197" spans="2:7" outlineLevel="1" x14ac:dyDescent="0.2">
      <c r="B197" s="47">
        <v>45022</v>
      </c>
      <c r="C197" s="15" t="s">
        <v>991</v>
      </c>
      <c r="D197" s="15" t="s">
        <v>992</v>
      </c>
      <c r="E197" s="15" t="s">
        <v>993</v>
      </c>
      <c r="F197" s="15" t="s">
        <v>957</v>
      </c>
      <c r="G197" s="15">
        <v>10313</v>
      </c>
    </row>
    <row r="198" spans="2:7" outlineLevel="1" x14ac:dyDescent="0.2">
      <c r="B198" s="47">
        <v>44916</v>
      </c>
      <c r="C198" s="15" t="s">
        <v>994</v>
      </c>
      <c r="D198" s="15" t="s">
        <v>995</v>
      </c>
      <c r="E198" s="15" t="s">
        <v>969</v>
      </c>
      <c r="F198" s="15" t="s">
        <v>979</v>
      </c>
      <c r="G198" s="15">
        <v>36607</v>
      </c>
    </row>
    <row r="199" spans="2:7" outlineLevel="1" x14ac:dyDescent="0.2">
      <c r="B199" s="47">
        <v>44785</v>
      </c>
      <c r="C199" s="15" t="s">
        <v>996</v>
      </c>
      <c r="D199" s="15" t="s">
        <v>997</v>
      </c>
      <c r="E199" s="15" t="s">
        <v>956</v>
      </c>
      <c r="F199" s="15" t="s">
        <v>957</v>
      </c>
      <c r="G199" s="15">
        <v>39916</v>
      </c>
    </row>
    <row r="200" spans="2:7" outlineLevel="1" x14ac:dyDescent="0.2"/>
    <row r="201" spans="2:7" ht="15" outlineLevel="1" x14ac:dyDescent="0.25">
      <c r="B201" s="4"/>
    </row>
    <row r="225" spans="2:9" ht="15" x14ac:dyDescent="0.25">
      <c r="B225" s="4" t="s">
        <v>943</v>
      </c>
    </row>
    <row r="227" spans="2:9" ht="15" x14ac:dyDescent="0.25">
      <c r="B227" s="21" t="s">
        <v>923</v>
      </c>
      <c r="C227" s="21" t="s">
        <v>924</v>
      </c>
      <c r="D227" s="21" t="s">
        <v>925</v>
      </c>
      <c r="E227" s="21" t="s">
        <v>926</v>
      </c>
      <c r="F227" s="21" t="s">
        <v>927</v>
      </c>
      <c r="G227" s="21" t="s">
        <v>928</v>
      </c>
      <c r="I227" s="21" t="s">
        <v>946</v>
      </c>
    </row>
    <row r="228" spans="2:9" x14ac:dyDescent="0.2">
      <c r="B228" s="50">
        <v>44627</v>
      </c>
      <c r="C228" s="15" t="s">
        <v>929</v>
      </c>
      <c r="D228" s="15" t="s">
        <v>930</v>
      </c>
      <c r="E228" s="15">
        <v>20</v>
      </c>
      <c r="F228" s="15">
        <v>13</v>
      </c>
      <c r="G228" s="15">
        <v>260</v>
      </c>
      <c r="I228" s="42">
        <f>AVERAGEIFS(G227:G239,D227:D239,"fastfood",F227:F239,"&gt;="&amp;10)</f>
        <v>260</v>
      </c>
    </row>
    <row r="229" spans="2:9" x14ac:dyDescent="0.2">
      <c r="B229" s="50" t="s">
        <v>931</v>
      </c>
      <c r="C229" s="15" t="s">
        <v>932</v>
      </c>
      <c r="D229" s="15" t="s">
        <v>930</v>
      </c>
      <c r="E229" s="15">
        <v>20</v>
      </c>
      <c r="F229" s="15">
        <v>15</v>
      </c>
      <c r="G229" s="15">
        <v>300</v>
      </c>
    </row>
    <row r="230" spans="2:9" x14ac:dyDescent="0.2">
      <c r="B230" s="50" t="s">
        <v>933</v>
      </c>
      <c r="C230" s="15" t="s">
        <v>932</v>
      </c>
      <c r="D230" s="15" t="s">
        <v>930</v>
      </c>
      <c r="E230" s="15">
        <v>20</v>
      </c>
      <c r="F230" s="15">
        <v>1</v>
      </c>
      <c r="G230" s="15">
        <v>20</v>
      </c>
    </row>
    <row r="231" spans="2:9" x14ac:dyDescent="0.2">
      <c r="B231" s="50">
        <v>44987</v>
      </c>
      <c r="C231" s="15" t="s">
        <v>934</v>
      </c>
      <c r="D231" s="15" t="s">
        <v>935</v>
      </c>
      <c r="E231" s="15">
        <v>25</v>
      </c>
      <c r="F231" s="15">
        <v>6</v>
      </c>
      <c r="G231" s="15">
        <v>150</v>
      </c>
    </row>
    <row r="232" spans="2:9" x14ac:dyDescent="0.2">
      <c r="B232" s="50">
        <v>44602</v>
      </c>
      <c r="C232" s="15" t="s">
        <v>934</v>
      </c>
      <c r="D232" s="15" t="s">
        <v>935</v>
      </c>
      <c r="E232" s="15">
        <v>25</v>
      </c>
      <c r="F232" s="15">
        <v>8</v>
      </c>
      <c r="G232" s="15">
        <v>200</v>
      </c>
    </row>
    <row r="233" spans="2:9" x14ac:dyDescent="0.2">
      <c r="B233" s="50" t="s">
        <v>937</v>
      </c>
      <c r="C233" s="15" t="s">
        <v>932</v>
      </c>
      <c r="D233" s="15" t="s">
        <v>930</v>
      </c>
      <c r="E233" s="15">
        <v>20</v>
      </c>
      <c r="F233" s="15">
        <v>10</v>
      </c>
      <c r="G233" s="15">
        <v>200</v>
      </c>
    </row>
    <row r="234" spans="2:9" x14ac:dyDescent="0.2">
      <c r="B234" s="50">
        <v>44625</v>
      </c>
      <c r="C234" s="15" t="s">
        <v>934</v>
      </c>
      <c r="D234" s="15" t="s">
        <v>935</v>
      </c>
      <c r="E234" s="15">
        <v>20</v>
      </c>
      <c r="F234" s="15">
        <v>9</v>
      </c>
      <c r="G234" s="15">
        <v>225</v>
      </c>
    </row>
    <row r="235" spans="2:9" x14ac:dyDescent="0.2">
      <c r="B235" s="50" t="s">
        <v>938</v>
      </c>
      <c r="C235" s="15" t="s">
        <v>939</v>
      </c>
      <c r="D235" s="15" t="s">
        <v>930</v>
      </c>
      <c r="E235" s="15">
        <v>20</v>
      </c>
      <c r="F235" s="15">
        <v>14</v>
      </c>
      <c r="G235" s="15">
        <v>280</v>
      </c>
    </row>
    <row r="236" spans="2:9" x14ac:dyDescent="0.2">
      <c r="B236" s="50">
        <v>44840</v>
      </c>
      <c r="C236" s="15" t="s">
        <v>939</v>
      </c>
      <c r="D236" s="15" t="s">
        <v>930</v>
      </c>
      <c r="E236" s="15">
        <v>20</v>
      </c>
      <c r="F236" s="15">
        <v>1</v>
      </c>
      <c r="G236" s="15">
        <v>20</v>
      </c>
    </row>
    <row r="237" spans="2:9" x14ac:dyDescent="0.2">
      <c r="B237" s="50" t="s">
        <v>940</v>
      </c>
      <c r="C237" s="15" t="s">
        <v>939</v>
      </c>
      <c r="D237" s="15" t="s">
        <v>930</v>
      </c>
      <c r="E237" s="15">
        <v>20</v>
      </c>
      <c r="F237" s="15">
        <v>5</v>
      </c>
      <c r="G237" s="15">
        <v>100</v>
      </c>
    </row>
    <row r="238" spans="2:9" x14ac:dyDescent="0.2">
      <c r="B238" s="50">
        <v>44573</v>
      </c>
      <c r="C238" s="15" t="s">
        <v>941</v>
      </c>
      <c r="D238" s="15" t="s">
        <v>930</v>
      </c>
      <c r="E238" s="15">
        <v>50</v>
      </c>
      <c r="F238" s="15">
        <v>8</v>
      </c>
      <c r="G238" s="15">
        <v>400</v>
      </c>
    </row>
    <row r="239" spans="2:9" x14ac:dyDescent="0.2">
      <c r="B239" s="50">
        <v>44902</v>
      </c>
      <c r="C239" s="15" t="s">
        <v>932</v>
      </c>
      <c r="D239" s="15" t="s">
        <v>930</v>
      </c>
      <c r="E239" s="15">
        <v>20</v>
      </c>
      <c r="F239" s="15">
        <v>8</v>
      </c>
      <c r="G239" s="15">
        <v>160</v>
      </c>
    </row>
    <row r="244" spans="2:9" ht="15" x14ac:dyDescent="0.25">
      <c r="B244" s="4" t="s">
        <v>947</v>
      </c>
    </row>
    <row r="245" spans="2:9" x14ac:dyDescent="0.2">
      <c r="B245" s="2" t="s">
        <v>948</v>
      </c>
    </row>
    <row r="250" spans="2:9" ht="15" x14ac:dyDescent="0.25">
      <c r="B250" s="21" t="s">
        <v>742</v>
      </c>
      <c r="C250" s="21" t="s">
        <v>949</v>
      </c>
      <c r="D250" s="21" t="s">
        <v>950</v>
      </c>
      <c r="E250" s="21" t="s">
        <v>951</v>
      </c>
      <c r="F250" s="21" t="s">
        <v>952</v>
      </c>
      <c r="G250" s="21" t="s">
        <v>953</v>
      </c>
      <c r="I250" s="21" t="s">
        <v>1001</v>
      </c>
    </row>
    <row r="251" spans="2:9" x14ac:dyDescent="0.2">
      <c r="B251" s="47">
        <v>44774</v>
      </c>
      <c r="C251" s="15" t="s">
        <v>954</v>
      </c>
      <c r="D251" s="15" t="s">
        <v>955</v>
      </c>
      <c r="E251" s="15" t="s">
        <v>956</v>
      </c>
      <c r="F251" s="15" t="s">
        <v>957</v>
      </c>
      <c r="G251" s="15">
        <v>15983</v>
      </c>
      <c r="I251" s="42">
        <f>AVERAGEIFS(G251:G267,E251:E267,"Toyota",F251:F267,"Silverado")</f>
        <v>48224</v>
      </c>
    </row>
    <row r="252" spans="2:9" x14ac:dyDescent="0.2">
      <c r="B252" s="47">
        <v>45000</v>
      </c>
      <c r="C252" s="15" t="s">
        <v>958</v>
      </c>
      <c r="D252" s="15" t="s">
        <v>959</v>
      </c>
      <c r="E252" s="15" t="s">
        <v>956</v>
      </c>
      <c r="F252" s="15" t="s">
        <v>960</v>
      </c>
      <c r="G252" s="15">
        <v>38474</v>
      </c>
    </row>
    <row r="253" spans="2:9" x14ac:dyDescent="0.2">
      <c r="B253" s="47">
        <v>45045</v>
      </c>
      <c r="C253" s="15" t="s">
        <v>961</v>
      </c>
      <c r="D253" s="15" t="s">
        <v>962</v>
      </c>
      <c r="E253" s="15" t="s">
        <v>963</v>
      </c>
      <c r="F253" s="15" t="s">
        <v>964</v>
      </c>
      <c r="G253" s="15">
        <v>33340</v>
      </c>
    </row>
    <row r="254" spans="2:9" x14ac:dyDescent="0.2">
      <c r="B254" s="47">
        <v>44808</v>
      </c>
      <c r="C254" s="15" t="s">
        <v>965</v>
      </c>
      <c r="D254" s="15" t="s">
        <v>966</v>
      </c>
      <c r="E254" s="15" t="s">
        <v>963</v>
      </c>
      <c r="F254" s="15" t="s">
        <v>957</v>
      </c>
      <c r="G254" s="15">
        <v>41937</v>
      </c>
    </row>
    <row r="255" spans="2:9" x14ac:dyDescent="0.2">
      <c r="B255" s="47">
        <v>44728</v>
      </c>
      <c r="C255" s="15" t="s">
        <v>967</v>
      </c>
      <c r="D255" s="15" t="s">
        <v>968</v>
      </c>
      <c r="E255" s="15" t="s">
        <v>969</v>
      </c>
      <c r="F255" s="15" t="s">
        <v>970</v>
      </c>
      <c r="G255" s="15">
        <v>20256</v>
      </c>
    </row>
    <row r="256" spans="2:9" x14ac:dyDescent="0.2">
      <c r="B256" s="47">
        <v>44913</v>
      </c>
      <c r="C256" s="15" t="s">
        <v>971</v>
      </c>
      <c r="D256" s="15" t="s">
        <v>972</v>
      </c>
      <c r="E256" s="15" t="s">
        <v>963</v>
      </c>
      <c r="F256" s="15" t="s">
        <v>957</v>
      </c>
      <c r="G256" s="15">
        <v>14769</v>
      </c>
    </row>
    <row r="257" spans="2:7" x14ac:dyDescent="0.2">
      <c r="B257" s="47">
        <v>44724</v>
      </c>
      <c r="C257" s="15" t="s">
        <v>973</v>
      </c>
      <c r="D257" s="15" t="s">
        <v>974</v>
      </c>
      <c r="E257" s="15" t="s">
        <v>969</v>
      </c>
      <c r="F257" s="15" t="s">
        <v>960</v>
      </c>
      <c r="G257" s="15">
        <v>41397</v>
      </c>
    </row>
    <row r="258" spans="2:7" x14ac:dyDescent="0.2">
      <c r="B258" s="47">
        <v>44732</v>
      </c>
      <c r="C258" s="15" t="s">
        <v>975</v>
      </c>
      <c r="D258" s="15" t="s">
        <v>976</v>
      </c>
      <c r="E258" s="15" t="s">
        <v>963</v>
      </c>
      <c r="F258" s="15" t="s">
        <v>957</v>
      </c>
      <c r="G258" s="15">
        <v>46233</v>
      </c>
    </row>
    <row r="259" spans="2:7" x14ac:dyDescent="0.2">
      <c r="B259" s="47">
        <v>44806</v>
      </c>
      <c r="C259" s="15" t="s">
        <v>977</v>
      </c>
      <c r="D259" s="15" t="s">
        <v>978</v>
      </c>
      <c r="E259" s="15" t="s">
        <v>963</v>
      </c>
      <c r="F259" s="15" t="s">
        <v>979</v>
      </c>
      <c r="G259" s="15">
        <v>27337</v>
      </c>
    </row>
    <row r="260" spans="2:7" x14ac:dyDescent="0.2">
      <c r="B260" s="47">
        <v>45022</v>
      </c>
      <c r="C260" s="15" t="s">
        <v>980</v>
      </c>
      <c r="D260" s="15" t="s">
        <v>981</v>
      </c>
      <c r="E260" s="15" t="s">
        <v>963</v>
      </c>
      <c r="F260" s="15" t="s">
        <v>964</v>
      </c>
      <c r="G260" s="15">
        <v>16309</v>
      </c>
    </row>
    <row r="261" spans="2:7" x14ac:dyDescent="0.2">
      <c r="B261" s="47">
        <v>44997</v>
      </c>
      <c r="C261" s="15" t="s">
        <v>982</v>
      </c>
      <c r="D261" s="15" t="s">
        <v>983</v>
      </c>
      <c r="E261" s="15" t="s">
        <v>969</v>
      </c>
      <c r="F261" s="15" t="s">
        <v>970</v>
      </c>
      <c r="G261" s="15">
        <v>41259</v>
      </c>
    </row>
    <row r="262" spans="2:7" x14ac:dyDescent="0.2">
      <c r="B262" s="47">
        <v>44955</v>
      </c>
      <c r="C262" s="15" t="s">
        <v>984</v>
      </c>
      <c r="D262" s="15" t="s">
        <v>985</v>
      </c>
      <c r="E262" s="15" t="s">
        <v>986</v>
      </c>
      <c r="F262" s="15" t="s">
        <v>970</v>
      </c>
      <c r="G262" s="15">
        <v>48224</v>
      </c>
    </row>
    <row r="263" spans="2:7" x14ac:dyDescent="0.2">
      <c r="B263" s="47">
        <v>44710</v>
      </c>
      <c r="C263" s="15" t="s">
        <v>987</v>
      </c>
      <c r="D263" s="15" t="s">
        <v>988</v>
      </c>
      <c r="E263" s="15" t="s">
        <v>963</v>
      </c>
      <c r="F263" s="15" t="s">
        <v>957</v>
      </c>
      <c r="G263" s="15">
        <v>36409</v>
      </c>
    </row>
    <row r="264" spans="2:7" x14ac:dyDescent="0.2">
      <c r="B264" s="47">
        <v>44785</v>
      </c>
      <c r="C264" s="15" t="s">
        <v>989</v>
      </c>
      <c r="D264" s="15" t="s">
        <v>990</v>
      </c>
      <c r="E264" s="15" t="s">
        <v>986</v>
      </c>
      <c r="F264" s="15" t="s">
        <v>960</v>
      </c>
      <c r="G264" s="15">
        <v>29628</v>
      </c>
    </row>
    <row r="265" spans="2:7" x14ac:dyDescent="0.2">
      <c r="B265" s="47">
        <v>45022</v>
      </c>
      <c r="C265" s="15" t="s">
        <v>991</v>
      </c>
      <c r="D265" s="15" t="s">
        <v>992</v>
      </c>
      <c r="E265" s="15" t="s">
        <v>993</v>
      </c>
      <c r="F265" s="15" t="s">
        <v>957</v>
      </c>
      <c r="G265" s="15">
        <v>10313</v>
      </c>
    </row>
    <row r="266" spans="2:7" x14ac:dyDescent="0.2">
      <c r="B266" s="47">
        <v>44916</v>
      </c>
      <c r="C266" s="15" t="s">
        <v>994</v>
      </c>
      <c r="D266" s="15" t="s">
        <v>995</v>
      </c>
      <c r="E266" s="15" t="s">
        <v>969</v>
      </c>
      <c r="F266" s="15" t="s">
        <v>979</v>
      </c>
      <c r="G266" s="15">
        <v>36607</v>
      </c>
    </row>
    <row r="267" spans="2:7" x14ac:dyDescent="0.2">
      <c r="B267" s="47">
        <v>44785</v>
      </c>
      <c r="C267" s="15" t="s">
        <v>996</v>
      </c>
      <c r="D267" s="15" t="s">
        <v>997</v>
      </c>
      <c r="E267" s="15" t="s">
        <v>956</v>
      </c>
      <c r="F267" s="15" t="s">
        <v>957</v>
      </c>
      <c r="G267" s="15">
        <v>39916</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A54ED-272E-4432-BDB8-5C84E66DE8F5}">
  <dimension ref="B12:H122"/>
  <sheetViews>
    <sheetView showGridLines="0" zoomScale="90" zoomScaleNormal="90" workbookViewId="0">
      <pane ySplit="3" topLeftCell="A105" activePane="bottomLeft" state="frozen"/>
      <selection activeCell="B20" sqref="B20:G34"/>
      <selection pane="bottomLeft" activeCell="H111" sqref="H111"/>
    </sheetView>
  </sheetViews>
  <sheetFormatPr baseColWidth="10" defaultColWidth="11.5" defaultRowHeight="14.25" x14ac:dyDescent="0.2"/>
  <cols>
    <col min="1" max="1" width="1.5" style="2" customWidth="1"/>
    <col min="2" max="2" width="18.5" style="2" customWidth="1"/>
    <col min="3" max="3" width="14.25" style="2" bestFit="1" customWidth="1"/>
    <col min="4" max="4" width="9.875" style="2" bestFit="1" customWidth="1"/>
    <col min="5" max="5" width="10.25" style="2" bestFit="1" customWidth="1"/>
    <col min="6" max="6" width="8.5" style="2" bestFit="1" customWidth="1"/>
    <col min="7" max="7" width="18.875" style="2" bestFit="1" customWidth="1"/>
    <col min="8"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12" spans="2:2" x14ac:dyDescent="0.2">
      <c r="B12" s="37">
        <f ca="1">NOW()</f>
        <v>46281.564375462964</v>
      </c>
    </row>
    <row r="24" spans="2:2" x14ac:dyDescent="0.2">
      <c r="B24" s="37">
        <f ca="1">TODAY()</f>
        <v>46281</v>
      </c>
    </row>
    <row r="43" spans="2:8" ht="15" x14ac:dyDescent="0.25">
      <c r="B43" s="4" t="s">
        <v>943</v>
      </c>
    </row>
    <row r="45" spans="2:8" ht="15" x14ac:dyDescent="0.25">
      <c r="B45" s="21" t="s">
        <v>923</v>
      </c>
      <c r="C45" s="21" t="s">
        <v>924</v>
      </c>
      <c r="D45" s="21" t="s">
        <v>925</v>
      </c>
      <c r="E45" s="21" t="s">
        <v>926</v>
      </c>
      <c r="F45" s="21" t="s">
        <v>927</v>
      </c>
      <c r="G45" s="21" t="s">
        <v>928</v>
      </c>
      <c r="H45" s="21" t="s">
        <v>1002</v>
      </c>
    </row>
    <row r="46" spans="2:8" x14ac:dyDescent="0.2">
      <c r="B46" s="50">
        <v>44627</v>
      </c>
      <c r="C46" s="15" t="s">
        <v>929</v>
      </c>
      <c r="D46" s="15" t="s">
        <v>930</v>
      </c>
      <c r="E46" s="15">
        <v>20</v>
      </c>
      <c r="F46" s="15">
        <v>13</v>
      </c>
      <c r="G46" s="15">
        <v>260</v>
      </c>
      <c r="H46" s="17">
        <f>DAY(B46)</f>
        <v>7</v>
      </c>
    </row>
    <row r="47" spans="2:8" x14ac:dyDescent="0.2">
      <c r="B47" s="50" t="s">
        <v>1223</v>
      </c>
      <c r="C47" s="15" t="s">
        <v>932</v>
      </c>
      <c r="D47" s="15" t="s">
        <v>930</v>
      </c>
      <c r="E47" s="15">
        <v>20</v>
      </c>
      <c r="F47" s="15">
        <v>15</v>
      </c>
      <c r="G47" s="15">
        <v>300</v>
      </c>
      <c r="H47" s="17" t="e">
        <f>DAY(B47)</f>
        <v>#VALUE!</v>
      </c>
    </row>
    <row r="48" spans="2:8" x14ac:dyDescent="0.2">
      <c r="B48" s="50" t="s">
        <v>933</v>
      </c>
      <c r="C48" s="15" t="s">
        <v>932</v>
      </c>
      <c r="D48" s="15" t="s">
        <v>930</v>
      </c>
      <c r="E48" s="15">
        <v>20</v>
      </c>
      <c r="F48" s="15">
        <v>1</v>
      </c>
      <c r="G48" s="15">
        <v>20</v>
      </c>
      <c r="H48" s="17" t="e">
        <f t="shared" ref="H48:H57" si="0">DAY(B48)</f>
        <v>#VALUE!</v>
      </c>
    </row>
    <row r="49" spans="2:8" x14ac:dyDescent="0.2">
      <c r="B49" s="50">
        <v>44987</v>
      </c>
      <c r="C49" s="15" t="s">
        <v>934</v>
      </c>
      <c r="D49" s="15" t="s">
        <v>935</v>
      </c>
      <c r="E49" s="15">
        <v>25</v>
      </c>
      <c r="F49" s="15">
        <v>6</v>
      </c>
      <c r="G49" s="15">
        <v>150</v>
      </c>
      <c r="H49" s="17">
        <f t="shared" si="0"/>
        <v>2</v>
      </c>
    </row>
    <row r="50" spans="2:8" x14ac:dyDescent="0.2">
      <c r="B50" s="50">
        <v>44602</v>
      </c>
      <c r="C50" s="15" t="s">
        <v>934</v>
      </c>
      <c r="D50" s="15" t="s">
        <v>935</v>
      </c>
      <c r="E50" s="15">
        <v>25</v>
      </c>
      <c r="F50" s="15">
        <v>8</v>
      </c>
      <c r="G50" s="15">
        <v>200</v>
      </c>
      <c r="H50" s="17">
        <f t="shared" si="0"/>
        <v>10</v>
      </c>
    </row>
    <row r="51" spans="2:8" x14ac:dyDescent="0.2">
      <c r="B51" s="50" t="s">
        <v>937</v>
      </c>
      <c r="C51" s="15" t="s">
        <v>932</v>
      </c>
      <c r="D51" s="15" t="s">
        <v>930</v>
      </c>
      <c r="E51" s="15">
        <v>20</v>
      </c>
      <c r="F51" s="15">
        <v>10</v>
      </c>
      <c r="G51" s="15">
        <v>200</v>
      </c>
      <c r="H51" s="17" t="e">
        <f t="shared" si="0"/>
        <v>#VALUE!</v>
      </c>
    </row>
    <row r="52" spans="2:8" x14ac:dyDescent="0.2">
      <c r="B52" s="50">
        <v>44625</v>
      </c>
      <c r="C52" s="15" t="s">
        <v>934</v>
      </c>
      <c r="D52" s="15" t="s">
        <v>935</v>
      </c>
      <c r="E52" s="15">
        <v>25</v>
      </c>
      <c r="F52" s="15">
        <v>9</v>
      </c>
      <c r="G52" s="15">
        <v>225</v>
      </c>
      <c r="H52" s="17">
        <f t="shared" si="0"/>
        <v>5</v>
      </c>
    </row>
    <row r="53" spans="2:8" x14ac:dyDescent="0.2">
      <c r="B53" s="50" t="s">
        <v>938</v>
      </c>
      <c r="C53" s="15" t="s">
        <v>939</v>
      </c>
      <c r="D53" s="15" t="s">
        <v>930</v>
      </c>
      <c r="E53" s="15">
        <v>20</v>
      </c>
      <c r="F53" s="15">
        <v>14</v>
      </c>
      <c r="G53" s="15">
        <v>280</v>
      </c>
      <c r="H53" s="17" t="e">
        <f t="shared" si="0"/>
        <v>#VALUE!</v>
      </c>
    </row>
    <row r="54" spans="2:8" x14ac:dyDescent="0.2">
      <c r="B54" s="50">
        <v>44840</v>
      </c>
      <c r="C54" s="15" t="s">
        <v>939</v>
      </c>
      <c r="D54" s="15" t="s">
        <v>930</v>
      </c>
      <c r="E54" s="15">
        <v>20</v>
      </c>
      <c r="F54" s="15">
        <v>1</v>
      </c>
      <c r="G54" s="15">
        <v>20</v>
      </c>
      <c r="H54" s="17">
        <f t="shared" si="0"/>
        <v>6</v>
      </c>
    </row>
    <row r="55" spans="2:8" x14ac:dyDescent="0.2">
      <c r="B55" s="50" t="s">
        <v>940</v>
      </c>
      <c r="C55" s="15" t="s">
        <v>939</v>
      </c>
      <c r="D55" s="15" t="s">
        <v>930</v>
      </c>
      <c r="E55" s="15">
        <v>20</v>
      </c>
      <c r="F55" s="15">
        <v>5</v>
      </c>
      <c r="G55" s="15">
        <v>100</v>
      </c>
      <c r="H55" s="17" t="e">
        <f t="shared" si="0"/>
        <v>#VALUE!</v>
      </c>
    </row>
    <row r="56" spans="2:8" x14ac:dyDescent="0.2">
      <c r="B56" s="50">
        <v>44573</v>
      </c>
      <c r="C56" s="15" t="s">
        <v>941</v>
      </c>
      <c r="D56" s="15" t="s">
        <v>930</v>
      </c>
      <c r="E56" s="15">
        <v>50</v>
      </c>
      <c r="F56" s="15">
        <v>8</v>
      </c>
      <c r="G56" s="15">
        <v>400</v>
      </c>
      <c r="H56" s="17">
        <f t="shared" si="0"/>
        <v>12</v>
      </c>
    </row>
    <row r="57" spans="2:8" x14ac:dyDescent="0.2">
      <c r="B57" s="50">
        <v>44902</v>
      </c>
      <c r="C57" s="15" t="s">
        <v>932</v>
      </c>
      <c r="D57" s="15" t="s">
        <v>930</v>
      </c>
      <c r="E57" s="15">
        <v>20</v>
      </c>
      <c r="F57" s="15">
        <v>8</v>
      </c>
      <c r="G57" s="15">
        <v>160</v>
      </c>
      <c r="H57" s="17">
        <f t="shared" si="0"/>
        <v>7</v>
      </c>
    </row>
    <row r="76" spans="2:8" ht="15" x14ac:dyDescent="0.25">
      <c r="B76" s="4" t="s">
        <v>943</v>
      </c>
    </row>
    <row r="78" spans="2:8" ht="15" x14ac:dyDescent="0.25">
      <c r="B78" s="21" t="s">
        <v>923</v>
      </c>
      <c r="C78" s="21" t="s">
        <v>924</v>
      </c>
      <c r="D78" s="21" t="s">
        <v>925</v>
      </c>
      <c r="E78" s="21" t="s">
        <v>926</v>
      </c>
      <c r="F78" s="21" t="s">
        <v>927</v>
      </c>
      <c r="G78" s="21" t="s">
        <v>928</v>
      </c>
      <c r="H78" s="21" t="s">
        <v>1003</v>
      </c>
    </row>
    <row r="79" spans="2:8" x14ac:dyDescent="0.2">
      <c r="B79" s="50">
        <v>44627</v>
      </c>
      <c r="C79" s="15" t="s">
        <v>929</v>
      </c>
      <c r="D79" s="15" t="s">
        <v>930</v>
      </c>
      <c r="E79" s="15">
        <v>20</v>
      </c>
      <c r="F79" s="15">
        <v>13</v>
      </c>
      <c r="G79" s="15">
        <v>260</v>
      </c>
      <c r="H79" s="17">
        <f>MONTH(B79)</f>
        <v>3</v>
      </c>
    </row>
    <row r="80" spans="2:8" x14ac:dyDescent="0.2">
      <c r="B80" s="50" t="s">
        <v>931</v>
      </c>
      <c r="C80" s="15" t="s">
        <v>932</v>
      </c>
      <c r="D80" s="15" t="s">
        <v>930</v>
      </c>
      <c r="E80" s="15">
        <v>20</v>
      </c>
      <c r="F80" s="15">
        <v>15</v>
      </c>
      <c r="G80" s="15">
        <v>300</v>
      </c>
      <c r="H80" s="17" t="e">
        <f t="shared" ref="H80:H90" si="1">MONTH(B80)</f>
        <v>#VALUE!</v>
      </c>
    </row>
    <row r="81" spans="2:8" x14ac:dyDescent="0.2">
      <c r="B81" s="50" t="s">
        <v>933</v>
      </c>
      <c r="C81" s="15" t="s">
        <v>932</v>
      </c>
      <c r="D81" s="15" t="s">
        <v>930</v>
      </c>
      <c r="E81" s="15">
        <v>20</v>
      </c>
      <c r="F81" s="15">
        <v>1</v>
      </c>
      <c r="G81" s="15">
        <v>20</v>
      </c>
      <c r="H81" s="17" t="e">
        <f t="shared" si="1"/>
        <v>#VALUE!</v>
      </c>
    </row>
    <row r="82" spans="2:8" x14ac:dyDescent="0.2">
      <c r="B82" s="50">
        <v>44987</v>
      </c>
      <c r="C82" s="15" t="s">
        <v>934</v>
      </c>
      <c r="D82" s="15" t="s">
        <v>935</v>
      </c>
      <c r="E82" s="15">
        <v>25</v>
      </c>
      <c r="F82" s="15">
        <v>6</v>
      </c>
      <c r="G82" s="15">
        <v>150</v>
      </c>
      <c r="H82" s="17">
        <f t="shared" si="1"/>
        <v>3</v>
      </c>
    </row>
    <row r="83" spans="2:8" x14ac:dyDescent="0.2">
      <c r="B83" s="50">
        <v>44602</v>
      </c>
      <c r="C83" s="15" t="s">
        <v>934</v>
      </c>
      <c r="D83" s="15" t="s">
        <v>935</v>
      </c>
      <c r="E83" s="15">
        <v>25</v>
      </c>
      <c r="F83" s="15">
        <v>8</v>
      </c>
      <c r="G83" s="15">
        <v>200</v>
      </c>
      <c r="H83" s="17">
        <f t="shared" si="1"/>
        <v>2</v>
      </c>
    </row>
    <row r="84" spans="2:8" x14ac:dyDescent="0.2">
      <c r="B84" s="50" t="s">
        <v>937</v>
      </c>
      <c r="C84" s="15" t="s">
        <v>932</v>
      </c>
      <c r="D84" s="15" t="s">
        <v>930</v>
      </c>
      <c r="E84" s="15">
        <v>20</v>
      </c>
      <c r="F84" s="15">
        <v>10</v>
      </c>
      <c r="G84" s="15">
        <v>200</v>
      </c>
      <c r="H84" s="17" t="e">
        <f t="shared" si="1"/>
        <v>#VALUE!</v>
      </c>
    </row>
    <row r="85" spans="2:8" x14ac:dyDescent="0.2">
      <c r="B85" s="50">
        <v>44625</v>
      </c>
      <c r="C85" s="15" t="s">
        <v>934</v>
      </c>
      <c r="D85" s="15" t="s">
        <v>935</v>
      </c>
      <c r="E85" s="15">
        <v>25</v>
      </c>
      <c r="F85" s="15">
        <v>9</v>
      </c>
      <c r="G85" s="15">
        <v>225</v>
      </c>
      <c r="H85" s="17">
        <f t="shared" si="1"/>
        <v>3</v>
      </c>
    </row>
    <row r="86" spans="2:8" x14ac:dyDescent="0.2">
      <c r="B86" s="50" t="s">
        <v>938</v>
      </c>
      <c r="C86" s="15" t="s">
        <v>939</v>
      </c>
      <c r="D86" s="15" t="s">
        <v>930</v>
      </c>
      <c r="E86" s="15">
        <v>20</v>
      </c>
      <c r="F86" s="15">
        <v>14</v>
      </c>
      <c r="G86" s="15">
        <v>280</v>
      </c>
      <c r="H86" s="17" t="e">
        <f t="shared" si="1"/>
        <v>#VALUE!</v>
      </c>
    </row>
    <row r="87" spans="2:8" x14ac:dyDescent="0.2">
      <c r="B87" s="50">
        <v>44840</v>
      </c>
      <c r="C87" s="15" t="s">
        <v>939</v>
      </c>
      <c r="D87" s="15" t="s">
        <v>930</v>
      </c>
      <c r="E87" s="15">
        <v>20</v>
      </c>
      <c r="F87" s="15">
        <v>1</v>
      </c>
      <c r="G87" s="15">
        <v>20</v>
      </c>
      <c r="H87" s="17">
        <f t="shared" si="1"/>
        <v>10</v>
      </c>
    </row>
    <row r="88" spans="2:8" x14ac:dyDescent="0.2">
      <c r="B88" s="50" t="s">
        <v>940</v>
      </c>
      <c r="C88" s="15" t="s">
        <v>939</v>
      </c>
      <c r="D88" s="15" t="s">
        <v>930</v>
      </c>
      <c r="E88" s="15">
        <v>20</v>
      </c>
      <c r="F88" s="15">
        <v>5</v>
      </c>
      <c r="G88" s="15">
        <v>100</v>
      </c>
      <c r="H88" s="17" t="e">
        <f t="shared" si="1"/>
        <v>#VALUE!</v>
      </c>
    </row>
    <row r="89" spans="2:8" x14ac:dyDescent="0.2">
      <c r="B89" s="50">
        <v>44573</v>
      </c>
      <c r="C89" s="15" t="s">
        <v>941</v>
      </c>
      <c r="D89" s="15" t="s">
        <v>930</v>
      </c>
      <c r="E89" s="15">
        <v>50</v>
      </c>
      <c r="F89" s="15">
        <v>8</v>
      </c>
      <c r="G89" s="15">
        <v>400</v>
      </c>
      <c r="H89" s="17">
        <f t="shared" si="1"/>
        <v>1</v>
      </c>
    </row>
    <row r="90" spans="2:8" x14ac:dyDescent="0.2">
      <c r="B90" s="50">
        <v>44902</v>
      </c>
      <c r="C90" s="15" t="s">
        <v>932</v>
      </c>
      <c r="D90" s="15" t="s">
        <v>930</v>
      </c>
      <c r="E90" s="15">
        <v>20</v>
      </c>
      <c r="F90" s="15">
        <v>8</v>
      </c>
      <c r="G90" s="15">
        <v>160</v>
      </c>
      <c r="H90" s="17">
        <f t="shared" si="1"/>
        <v>12</v>
      </c>
    </row>
    <row r="108" spans="2:8" ht="15" x14ac:dyDescent="0.25">
      <c r="B108" s="4" t="s">
        <v>943</v>
      </c>
    </row>
    <row r="110" spans="2:8" ht="15" x14ac:dyDescent="0.25">
      <c r="B110" s="21" t="s">
        <v>923</v>
      </c>
      <c r="C110" s="21" t="s">
        <v>924</v>
      </c>
      <c r="D110" s="21" t="s">
        <v>925</v>
      </c>
      <c r="E110" s="21" t="s">
        <v>926</v>
      </c>
      <c r="F110" s="21" t="s">
        <v>927</v>
      </c>
      <c r="G110" s="21" t="s">
        <v>928</v>
      </c>
      <c r="H110" s="21" t="s">
        <v>63</v>
      </c>
    </row>
    <row r="111" spans="2:8" x14ac:dyDescent="0.2">
      <c r="B111" s="50">
        <v>44627</v>
      </c>
      <c r="C111" s="15" t="s">
        <v>929</v>
      </c>
      <c r="D111" s="15" t="s">
        <v>930</v>
      </c>
      <c r="E111" s="15">
        <v>20</v>
      </c>
      <c r="F111" s="15">
        <v>13</v>
      </c>
      <c r="G111" s="15">
        <v>260</v>
      </c>
      <c r="H111" s="17">
        <f>YEAR(B111)</f>
        <v>2022</v>
      </c>
    </row>
    <row r="112" spans="2:8" x14ac:dyDescent="0.2">
      <c r="B112" s="50" t="s">
        <v>931</v>
      </c>
      <c r="C112" s="15" t="s">
        <v>932</v>
      </c>
      <c r="D112" s="15" t="s">
        <v>930</v>
      </c>
      <c r="E112" s="15">
        <v>20</v>
      </c>
      <c r="F112" s="15">
        <v>15</v>
      </c>
      <c r="G112" s="15">
        <v>300</v>
      </c>
      <c r="H112" s="17" t="e">
        <f t="shared" ref="H112:H122" si="2">YEAR(B112)</f>
        <v>#VALUE!</v>
      </c>
    </row>
    <row r="113" spans="2:8" x14ac:dyDescent="0.2">
      <c r="B113" s="50" t="s">
        <v>933</v>
      </c>
      <c r="C113" s="15" t="s">
        <v>932</v>
      </c>
      <c r="D113" s="15" t="s">
        <v>930</v>
      </c>
      <c r="E113" s="15">
        <v>20</v>
      </c>
      <c r="F113" s="15">
        <v>1</v>
      </c>
      <c r="G113" s="15">
        <v>20</v>
      </c>
      <c r="H113" s="17" t="e">
        <f t="shared" si="2"/>
        <v>#VALUE!</v>
      </c>
    </row>
    <row r="114" spans="2:8" x14ac:dyDescent="0.2">
      <c r="B114" s="50">
        <v>44987</v>
      </c>
      <c r="C114" s="15" t="s">
        <v>934</v>
      </c>
      <c r="D114" s="15" t="s">
        <v>935</v>
      </c>
      <c r="E114" s="15">
        <v>25</v>
      </c>
      <c r="F114" s="15">
        <v>6</v>
      </c>
      <c r="G114" s="15">
        <v>150</v>
      </c>
      <c r="H114" s="17">
        <f t="shared" si="2"/>
        <v>2023</v>
      </c>
    </row>
    <row r="115" spans="2:8" x14ac:dyDescent="0.2">
      <c r="B115" s="50">
        <v>44602</v>
      </c>
      <c r="C115" s="15" t="s">
        <v>934</v>
      </c>
      <c r="D115" s="15" t="s">
        <v>935</v>
      </c>
      <c r="E115" s="15">
        <v>25</v>
      </c>
      <c r="F115" s="15">
        <v>8</v>
      </c>
      <c r="G115" s="15">
        <v>200</v>
      </c>
      <c r="H115" s="17">
        <f t="shared" si="2"/>
        <v>2022</v>
      </c>
    </row>
    <row r="116" spans="2:8" x14ac:dyDescent="0.2">
      <c r="B116" s="50" t="s">
        <v>937</v>
      </c>
      <c r="C116" s="15" t="s">
        <v>932</v>
      </c>
      <c r="D116" s="15" t="s">
        <v>930</v>
      </c>
      <c r="E116" s="15">
        <v>20</v>
      </c>
      <c r="F116" s="15">
        <v>10</v>
      </c>
      <c r="G116" s="15">
        <v>200</v>
      </c>
      <c r="H116" s="17" t="e">
        <f t="shared" si="2"/>
        <v>#VALUE!</v>
      </c>
    </row>
    <row r="117" spans="2:8" x14ac:dyDescent="0.2">
      <c r="B117" s="50">
        <v>44625</v>
      </c>
      <c r="C117" s="15" t="s">
        <v>934</v>
      </c>
      <c r="D117" s="15" t="s">
        <v>935</v>
      </c>
      <c r="E117" s="15">
        <v>25</v>
      </c>
      <c r="F117" s="15">
        <v>9</v>
      </c>
      <c r="G117" s="15">
        <v>225</v>
      </c>
      <c r="H117" s="17">
        <f t="shared" si="2"/>
        <v>2022</v>
      </c>
    </row>
    <row r="118" spans="2:8" x14ac:dyDescent="0.2">
      <c r="B118" s="50" t="s">
        <v>938</v>
      </c>
      <c r="C118" s="15" t="s">
        <v>939</v>
      </c>
      <c r="D118" s="15" t="s">
        <v>930</v>
      </c>
      <c r="E118" s="15">
        <v>20</v>
      </c>
      <c r="F118" s="15">
        <v>14</v>
      </c>
      <c r="G118" s="15">
        <v>280</v>
      </c>
      <c r="H118" s="17" t="e">
        <f t="shared" si="2"/>
        <v>#VALUE!</v>
      </c>
    </row>
    <row r="119" spans="2:8" x14ac:dyDescent="0.2">
      <c r="B119" s="50">
        <v>44840</v>
      </c>
      <c r="C119" s="15" t="s">
        <v>939</v>
      </c>
      <c r="D119" s="15" t="s">
        <v>930</v>
      </c>
      <c r="E119" s="15">
        <v>20</v>
      </c>
      <c r="F119" s="15">
        <v>1</v>
      </c>
      <c r="G119" s="15">
        <v>20</v>
      </c>
      <c r="H119" s="17">
        <f t="shared" si="2"/>
        <v>2022</v>
      </c>
    </row>
    <row r="120" spans="2:8" x14ac:dyDescent="0.2">
      <c r="B120" s="50" t="s">
        <v>940</v>
      </c>
      <c r="C120" s="15" t="s">
        <v>939</v>
      </c>
      <c r="D120" s="15" t="s">
        <v>930</v>
      </c>
      <c r="E120" s="15">
        <v>20</v>
      </c>
      <c r="F120" s="15">
        <v>5</v>
      </c>
      <c r="G120" s="15">
        <v>100</v>
      </c>
      <c r="H120" s="17" t="e">
        <f t="shared" si="2"/>
        <v>#VALUE!</v>
      </c>
    </row>
    <row r="121" spans="2:8" x14ac:dyDescent="0.2">
      <c r="B121" s="50">
        <v>44573</v>
      </c>
      <c r="C121" s="15" t="s">
        <v>941</v>
      </c>
      <c r="D121" s="15" t="s">
        <v>930</v>
      </c>
      <c r="E121" s="15">
        <v>50</v>
      </c>
      <c r="F121" s="15">
        <v>8</v>
      </c>
      <c r="G121" s="15">
        <v>400</v>
      </c>
      <c r="H121" s="17">
        <f t="shared" si="2"/>
        <v>2022</v>
      </c>
    </row>
    <row r="122" spans="2:8" x14ac:dyDescent="0.2">
      <c r="B122" s="50">
        <v>44902</v>
      </c>
      <c r="C122" s="15" t="s">
        <v>932</v>
      </c>
      <c r="D122" s="15" t="s">
        <v>930</v>
      </c>
      <c r="E122" s="15">
        <v>20</v>
      </c>
      <c r="F122" s="15">
        <v>8</v>
      </c>
      <c r="G122" s="15">
        <v>160</v>
      </c>
      <c r="H122" s="17">
        <f t="shared" si="2"/>
        <v>2022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A622-251B-4455-9C08-1B86BE09FB63}">
  <dimension ref="B1:I197"/>
  <sheetViews>
    <sheetView showGridLines="0" zoomScale="90" zoomScaleNormal="90" workbookViewId="0">
      <pane ySplit="3" topLeftCell="A99" activePane="bottomLeft" state="frozen"/>
      <selection pane="bottomLeft" activeCell="G110" sqref="G110"/>
    </sheetView>
  </sheetViews>
  <sheetFormatPr baseColWidth="10" defaultColWidth="11.5" defaultRowHeight="14.25" outlineLevelRow="1" x14ac:dyDescent="0.2"/>
  <cols>
    <col min="1" max="1" width="1.5" style="2" customWidth="1"/>
    <col min="2" max="2" width="13.75" style="2" customWidth="1"/>
    <col min="3" max="3" width="12.5" style="2" bestFit="1" customWidth="1"/>
    <col min="4" max="4" width="12.75" style="2" bestFit="1" customWidth="1"/>
    <col min="5" max="5" width="13" style="2" bestFit="1" customWidth="1"/>
    <col min="6" max="6" width="11.125" style="2" bestFit="1" customWidth="1"/>
    <col min="7" max="7" width="11" style="2"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9" outlineLevel="1" x14ac:dyDescent="0.2"/>
    <row r="18" spans="2:9" outlineLevel="1" x14ac:dyDescent="0.2"/>
    <row r="19" spans="2:9" outlineLevel="1" x14ac:dyDescent="0.2"/>
    <row r="20" spans="2:9" ht="15" outlineLevel="1" x14ac:dyDescent="0.25">
      <c r="B20" s="4" t="s">
        <v>1013</v>
      </c>
    </row>
    <row r="21" spans="2:9" outlineLevel="1" x14ac:dyDescent="0.2">
      <c r="B21" s="2" t="s">
        <v>1014</v>
      </c>
    </row>
    <row r="22" spans="2:9" outlineLevel="1" x14ac:dyDescent="0.2"/>
    <row r="23" spans="2:9" ht="15" outlineLevel="1" x14ac:dyDescent="0.2">
      <c r="B23" s="51" t="s">
        <v>742</v>
      </c>
      <c r="C23" s="51" t="s">
        <v>1011</v>
      </c>
      <c r="D23" s="51" t="s">
        <v>1012</v>
      </c>
      <c r="E23" s="51">
        <v>4046</v>
      </c>
      <c r="F23" s="51">
        <v>4225</v>
      </c>
      <c r="G23" s="51">
        <v>4770</v>
      </c>
      <c r="H23" s="52" t="s">
        <v>1023</v>
      </c>
    </row>
    <row r="24" spans="2:9" outlineLevel="1" x14ac:dyDescent="0.2">
      <c r="B24" s="46">
        <v>42365</v>
      </c>
      <c r="C24" s="2">
        <v>1.33</v>
      </c>
      <c r="D24" s="2">
        <v>64236.62</v>
      </c>
      <c r="E24" s="2">
        <v>1036.74</v>
      </c>
      <c r="F24" s="2">
        <v>54454.85</v>
      </c>
      <c r="G24" s="2">
        <v>48.16</v>
      </c>
      <c r="H24" s="53">
        <f>EDATE(B24,12)</f>
        <v>42731</v>
      </c>
      <c r="I24" s="46"/>
    </row>
    <row r="25" spans="2:9" outlineLevel="1" x14ac:dyDescent="0.2">
      <c r="B25" s="46">
        <v>42358</v>
      </c>
      <c r="C25" s="2">
        <v>1.35</v>
      </c>
      <c r="D25" s="2">
        <v>54876.98</v>
      </c>
      <c r="E25" s="2">
        <v>674.28</v>
      </c>
      <c r="F25" s="2">
        <v>44638.81</v>
      </c>
      <c r="G25" s="2">
        <v>58.33</v>
      </c>
      <c r="H25" s="53">
        <f t="shared" ref="H25:H32" si="0">EDATE(B25,12)</f>
        <v>42724</v>
      </c>
      <c r="I25" s="46"/>
    </row>
    <row r="26" spans="2:9" outlineLevel="1" x14ac:dyDescent="0.2">
      <c r="B26" s="46">
        <v>42351</v>
      </c>
      <c r="C26" s="2">
        <v>0.93</v>
      </c>
      <c r="D26" s="2">
        <v>118220.22</v>
      </c>
      <c r="E26" s="2">
        <v>794.7</v>
      </c>
      <c r="F26" s="2">
        <v>109149.67</v>
      </c>
      <c r="G26" s="2">
        <v>130.5</v>
      </c>
      <c r="H26" s="53">
        <f t="shared" si="0"/>
        <v>42717</v>
      </c>
      <c r="I26" s="46"/>
    </row>
    <row r="27" spans="2:9" outlineLevel="1" x14ac:dyDescent="0.2">
      <c r="B27" s="46">
        <v>42344</v>
      </c>
      <c r="C27" s="2">
        <v>1.08</v>
      </c>
      <c r="D27" s="2">
        <v>78992.149999999994</v>
      </c>
      <c r="E27" s="2">
        <v>1132</v>
      </c>
      <c r="F27" s="2">
        <v>71976.41</v>
      </c>
      <c r="G27" s="2">
        <v>72.58</v>
      </c>
      <c r="H27" s="53">
        <f t="shared" si="0"/>
        <v>42710</v>
      </c>
      <c r="I27" s="46"/>
    </row>
    <row r="28" spans="2:9" outlineLevel="1" x14ac:dyDescent="0.2">
      <c r="B28" s="46">
        <v>42337</v>
      </c>
      <c r="C28" s="2">
        <v>1.28</v>
      </c>
      <c r="D28" s="2">
        <v>51039.6</v>
      </c>
      <c r="E28" s="2">
        <v>941.48</v>
      </c>
      <c r="F28" s="2">
        <v>43838.39</v>
      </c>
      <c r="G28" s="2">
        <v>75.78</v>
      </c>
      <c r="H28" s="53">
        <f t="shared" si="0"/>
        <v>42703</v>
      </c>
      <c r="I28" s="46"/>
    </row>
    <row r="29" spans="2:9" outlineLevel="1" x14ac:dyDescent="0.2">
      <c r="B29" s="46">
        <v>42330</v>
      </c>
      <c r="C29" s="2">
        <v>1.26</v>
      </c>
      <c r="D29" s="2">
        <v>55979.78</v>
      </c>
      <c r="E29" s="2">
        <v>1184.27</v>
      </c>
      <c r="F29" s="2">
        <v>48067.99</v>
      </c>
      <c r="G29" s="2">
        <v>43.61</v>
      </c>
      <c r="H29" s="53">
        <f t="shared" si="0"/>
        <v>42696</v>
      </c>
      <c r="I29" s="46"/>
    </row>
    <row r="30" spans="2:9" outlineLevel="1" x14ac:dyDescent="0.2">
      <c r="B30" s="46">
        <v>42323</v>
      </c>
      <c r="C30" s="2">
        <v>0.99</v>
      </c>
      <c r="D30" s="2">
        <v>83453.759999999995</v>
      </c>
      <c r="E30" s="2">
        <v>1368.92</v>
      </c>
      <c r="F30" s="2">
        <v>73672.72</v>
      </c>
      <c r="G30" s="2">
        <v>93.26</v>
      </c>
      <c r="H30" s="53">
        <f t="shared" si="0"/>
        <v>42689</v>
      </c>
      <c r="I30" s="46"/>
    </row>
    <row r="31" spans="2:9" outlineLevel="1" x14ac:dyDescent="0.2">
      <c r="B31" s="46">
        <v>42316</v>
      </c>
      <c r="C31" s="2">
        <v>0.98</v>
      </c>
      <c r="D31" s="2">
        <v>109428.33</v>
      </c>
      <c r="E31" s="2">
        <v>703.75</v>
      </c>
      <c r="F31" s="2">
        <v>101815.36</v>
      </c>
      <c r="G31" s="2">
        <v>80</v>
      </c>
      <c r="H31" s="53">
        <f t="shared" si="0"/>
        <v>42682</v>
      </c>
      <c r="I31" s="46"/>
    </row>
    <row r="32" spans="2:9" outlineLevel="1" x14ac:dyDescent="0.2">
      <c r="B32" s="46">
        <v>42309</v>
      </c>
      <c r="C32" s="2">
        <v>1.02</v>
      </c>
      <c r="D32" s="2">
        <v>99811.42</v>
      </c>
      <c r="E32" s="2">
        <v>1022.15</v>
      </c>
      <c r="F32" s="2">
        <v>87315.57</v>
      </c>
      <c r="G32" s="2">
        <v>85.34</v>
      </c>
      <c r="H32" s="53">
        <f t="shared" si="0"/>
        <v>42675</v>
      </c>
      <c r="I32" s="46"/>
    </row>
    <row r="33" spans="2:7" outlineLevel="1" x14ac:dyDescent="0.2"/>
    <row r="34" spans="2:7" outlineLevel="1" x14ac:dyDescent="0.2"/>
    <row r="35" spans="2:7" outlineLevel="1" x14ac:dyDescent="0.2"/>
    <row r="36" spans="2:7" outlineLevel="1" x14ac:dyDescent="0.2"/>
    <row r="37" spans="2:7" outlineLevel="1" x14ac:dyDescent="0.2"/>
    <row r="38" spans="2:7" ht="15" outlineLevel="1" x14ac:dyDescent="0.25">
      <c r="B38" s="4" t="s">
        <v>1021</v>
      </c>
    </row>
    <row r="39" spans="2:7" outlineLevel="1" x14ac:dyDescent="0.2">
      <c r="B39" s="2" t="s">
        <v>1022</v>
      </c>
    </row>
    <row r="40" spans="2:7" outlineLevel="1" x14ac:dyDescent="0.2"/>
    <row r="41" spans="2:7" outlineLevel="1" x14ac:dyDescent="0.2"/>
    <row r="42" spans="2:7" outlineLevel="1" x14ac:dyDescent="0.2"/>
    <row r="43" spans="2:7" outlineLevel="1" x14ac:dyDescent="0.2"/>
    <row r="44" spans="2:7" ht="15" outlineLevel="1" x14ac:dyDescent="0.25">
      <c r="B44" s="38" t="s">
        <v>1015</v>
      </c>
      <c r="C44" s="38" t="s">
        <v>1016</v>
      </c>
      <c r="D44" s="38" t="s">
        <v>742</v>
      </c>
      <c r="E44" s="38" t="s">
        <v>1017</v>
      </c>
      <c r="F44" s="38" t="s">
        <v>1018</v>
      </c>
      <c r="G44" s="52" t="s">
        <v>1024</v>
      </c>
    </row>
    <row r="45" spans="2:7" outlineLevel="1" x14ac:dyDescent="0.2">
      <c r="B45" s="2">
        <v>1</v>
      </c>
      <c r="C45" s="2">
        <v>1</v>
      </c>
      <c r="D45" s="46">
        <v>40214</v>
      </c>
      <c r="E45" s="2">
        <v>24924.5</v>
      </c>
      <c r="F45" s="2" t="s">
        <v>1019</v>
      </c>
      <c r="G45" s="53">
        <f>EDATE(D45,24)</f>
        <v>40944</v>
      </c>
    </row>
    <row r="46" spans="2:7" outlineLevel="1" x14ac:dyDescent="0.2">
      <c r="B46" s="2">
        <v>1</v>
      </c>
      <c r="C46" s="2">
        <v>1</v>
      </c>
      <c r="D46" s="46">
        <v>40221</v>
      </c>
      <c r="E46" s="2">
        <v>46039.49</v>
      </c>
      <c r="F46" s="2" t="s">
        <v>1020</v>
      </c>
      <c r="G46" s="53">
        <f t="shared" ref="G46:G58" si="1">EDATE(D46,24)</f>
        <v>40951</v>
      </c>
    </row>
    <row r="47" spans="2:7" outlineLevel="1" x14ac:dyDescent="0.2">
      <c r="B47" s="2">
        <v>1</v>
      </c>
      <c r="C47" s="2">
        <v>1</v>
      </c>
      <c r="D47" s="46">
        <v>40228</v>
      </c>
      <c r="E47" s="2">
        <v>41595.550000000003</v>
      </c>
      <c r="F47" s="2" t="s">
        <v>1019</v>
      </c>
      <c r="G47" s="53">
        <f t="shared" si="1"/>
        <v>40958</v>
      </c>
    </row>
    <row r="48" spans="2:7" outlineLevel="1" x14ac:dyDescent="0.2">
      <c r="B48" s="2">
        <v>1</v>
      </c>
      <c r="C48" s="2">
        <v>1</v>
      </c>
      <c r="D48" s="46">
        <v>40235</v>
      </c>
      <c r="E48" s="2">
        <v>19403.54</v>
      </c>
      <c r="F48" s="2" t="s">
        <v>1019</v>
      </c>
      <c r="G48" s="53">
        <f t="shared" si="1"/>
        <v>40965</v>
      </c>
    </row>
    <row r="49" spans="2:7" outlineLevel="1" x14ac:dyDescent="0.2">
      <c r="B49" s="2">
        <v>1</v>
      </c>
      <c r="C49" s="2">
        <v>1</v>
      </c>
      <c r="D49" s="46">
        <v>40242</v>
      </c>
      <c r="E49" s="2">
        <v>21827.9</v>
      </c>
      <c r="F49" s="2" t="s">
        <v>1019</v>
      </c>
      <c r="G49" s="53">
        <f t="shared" si="1"/>
        <v>40973</v>
      </c>
    </row>
    <row r="50" spans="2:7" outlineLevel="1" x14ac:dyDescent="0.2">
      <c r="B50" s="2">
        <v>1</v>
      </c>
      <c r="C50" s="2">
        <v>1</v>
      </c>
      <c r="D50" s="46">
        <v>40249</v>
      </c>
      <c r="E50" s="2">
        <v>21043.39</v>
      </c>
      <c r="F50" s="2" t="s">
        <v>1019</v>
      </c>
      <c r="G50" s="53">
        <f t="shared" si="1"/>
        <v>40980</v>
      </c>
    </row>
    <row r="51" spans="2:7" outlineLevel="1" x14ac:dyDescent="0.2">
      <c r="B51" s="2">
        <v>1</v>
      </c>
      <c r="C51" s="2">
        <v>1</v>
      </c>
      <c r="D51" s="46">
        <v>40256</v>
      </c>
      <c r="E51" s="2">
        <v>22136.639999999999</v>
      </c>
      <c r="F51" s="2" t="s">
        <v>1019</v>
      </c>
      <c r="G51" s="53">
        <f t="shared" si="1"/>
        <v>40987</v>
      </c>
    </row>
    <row r="52" spans="2:7" outlineLevel="1" x14ac:dyDescent="0.2">
      <c r="B52" s="2">
        <v>1</v>
      </c>
      <c r="C52" s="2">
        <v>1</v>
      </c>
      <c r="D52" s="46">
        <v>40263</v>
      </c>
      <c r="E52" s="2">
        <v>26229.21</v>
      </c>
      <c r="F52" s="2" t="s">
        <v>1019</v>
      </c>
      <c r="G52" s="53">
        <f t="shared" si="1"/>
        <v>40994</v>
      </c>
    </row>
    <row r="53" spans="2:7" outlineLevel="1" x14ac:dyDescent="0.2">
      <c r="B53" s="2">
        <v>1</v>
      </c>
      <c r="C53" s="2">
        <v>1</v>
      </c>
      <c r="D53" s="46">
        <v>40270</v>
      </c>
      <c r="E53" s="2">
        <v>57258.43</v>
      </c>
      <c r="F53" s="2" t="s">
        <v>1019</v>
      </c>
      <c r="G53" s="53">
        <f t="shared" si="1"/>
        <v>41001</v>
      </c>
    </row>
    <row r="54" spans="2:7" outlineLevel="1" x14ac:dyDescent="0.2">
      <c r="B54" s="2">
        <v>1</v>
      </c>
      <c r="C54" s="2">
        <v>1</v>
      </c>
      <c r="D54" s="46">
        <v>40277</v>
      </c>
      <c r="E54" s="2">
        <v>42960.91</v>
      </c>
      <c r="F54" s="2" t="s">
        <v>1019</v>
      </c>
      <c r="G54" s="53">
        <f t="shared" si="1"/>
        <v>41008</v>
      </c>
    </row>
    <row r="55" spans="2:7" outlineLevel="1" x14ac:dyDescent="0.2">
      <c r="B55" s="2">
        <v>1</v>
      </c>
      <c r="C55" s="2">
        <v>1</v>
      </c>
      <c r="D55" s="46">
        <v>40284</v>
      </c>
      <c r="E55" s="2">
        <v>17596.96</v>
      </c>
      <c r="F55" s="2" t="s">
        <v>1019</v>
      </c>
      <c r="G55" s="53">
        <f t="shared" si="1"/>
        <v>41015</v>
      </c>
    </row>
    <row r="56" spans="2:7" outlineLevel="1" x14ac:dyDescent="0.2">
      <c r="B56" s="2">
        <v>1</v>
      </c>
      <c r="C56" s="2">
        <v>1</v>
      </c>
      <c r="D56" s="46">
        <v>40291</v>
      </c>
      <c r="E56" s="2">
        <v>16145.35</v>
      </c>
      <c r="F56" s="2" t="s">
        <v>1019</v>
      </c>
      <c r="G56" s="53">
        <f t="shared" si="1"/>
        <v>41022</v>
      </c>
    </row>
    <row r="57" spans="2:7" outlineLevel="1" x14ac:dyDescent="0.2">
      <c r="B57" s="2">
        <v>1</v>
      </c>
      <c r="C57" s="2">
        <v>1</v>
      </c>
      <c r="D57" s="46">
        <v>40298</v>
      </c>
      <c r="E57" s="2">
        <v>16555.11</v>
      </c>
      <c r="F57" s="2" t="s">
        <v>1019</v>
      </c>
      <c r="G57" s="53">
        <f t="shared" si="1"/>
        <v>41029</v>
      </c>
    </row>
    <row r="58" spans="2:7" outlineLevel="1" x14ac:dyDescent="0.2">
      <c r="B58" s="2">
        <v>1</v>
      </c>
      <c r="C58" s="2">
        <v>1</v>
      </c>
      <c r="D58" s="46">
        <v>40305</v>
      </c>
      <c r="E58" s="2">
        <v>17413.939999999999</v>
      </c>
      <c r="F58" s="2" t="s">
        <v>1019</v>
      </c>
      <c r="G58" s="53">
        <f t="shared" si="1"/>
        <v>41036</v>
      </c>
    </row>
    <row r="66" outlineLevel="1" x14ac:dyDescent="0.2"/>
    <row r="67" outlineLevel="1" x14ac:dyDescent="0.2"/>
    <row r="68" outlineLevel="1" x14ac:dyDescent="0.2"/>
    <row r="69" outlineLevel="1" x14ac:dyDescent="0.2"/>
    <row r="70" outlineLevel="1" x14ac:dyDescent="0.2"/>
    <row r="71" outlineLevel="1" x14ac:dyDescent="0.2"/>
    <row r="72" outlineLevel="1" x14ac:dyDescent="0.2"/>
    <row r="73" outlineLevel="1" x14ac:dyDescent="0.2"/>
    <row r="74" outlineLevel="1" x14ac:dyDescent="0.2"/>
    <row r="75" outlineLevel="1" x14ac:dyDescent="0.2"/>
    <row r="76" outlineLevel="1" x14ac:dyDescent="0.2"/>
    <row r="77" outlineLevel="1" x14ac:dyDescent="0.2"/>
    <row r="78" outlineLevel="1" x14ac:dyDescent="0.2"/>
    <row r="79" outlineLevel="1" x14ac:dyDescent="0.2"/>
    <row r="80" outlineLevel="1" x14ac:dyDescent="0.2"/>
    <row r="81" spans="2:8" outlineLevel="1" x14ac:dyDescent="0.2"/>
    <row r="82" spans="2:8" outlineLevel="1" x14ac:dyDescent="0.2"/>
    <row r="83" spans="2:8" outlineLevel="1" x14ac:dyDescent="0.2"/>
    <row r="84" spans="2:8" outlineLevel="1" x14ac:dyDescent="0.2"/>
    <row r="85" spans="2:8" ht="15" outlineLevel="1" x14ac:dyDescent="0.25">
      <c r="B85" s="4" t="s">
        <v>1013</v>
      </c>
    </row>
    <row r="86" spans="2:8" outlineLevel="1" x14ac:dyDescent="0.2">
      <c r="B86" s="2" t="s">
        <v>1014</v>
      </c>
    </row>
    <row r="87" spans="2:8" outlineLevel="1" x14ac:dyDescent="0.2"/>
    <row r="88" spans="2:8" ht="15" outlineLevel="1" x14ac:dyDescent="0.2">
      <c r="B88" s="51" t="s">
        <v>742</v>
      </c>
      <c r="C88" s="51" t="s">
        <v>1011</v>
      </c>
      <c r="D88" s="51" t="s">
        <v>1012</v>
      </c>
      <c r="E88" s="51">
        <v>4046</v>
      </c>
      <c r="F88" s="51">
        <v>4225</v>
      </c>
      <c r="G88" s="51">
        <v>4770</v>
      </c>
      <c r="H88" s="52" t="s">
        <v>1023</v>
      </c>
    </row>
    <row r="89" spans="2:8" outlineLevel="1" x14ac:dyDescent="0.2">
      <c r="B89" s="46">
        <v>42365</v>
      </c>
      <c r="C89" s="2">
        <v>1.33</v>
      </c>
      <c r="D89" s="2">
        <v>64236.62</v>
      </c>
      <c r="E89" s="2">
        <v>1036.74</v>
      </c>
      <c r="F89" s="2">
        <v>54454.85</v>
      </c>
      <c r="G89" s="2">
        <v>48.16</v>
      </c>
      <c r="H89" s="53">
        <f>EOMONTH(B89,12)</f>
        <v>42735</v>
      </c>
    </row>
    <row r="90" spans="2:8" outlineLevel="1" x14ac:dyDescent="0.2">
      <c r="B90" s="46">
        <v>42358</v>
      </c>
      <c r="C90" s="2">
        <v>1.35</v>
      </c>
      <c r="D90" s="2">
        <v>54876.98</v>
      </c>
      <c r="E90" s="2">
        <v>674.28</v>
      </c>
      <c r="F90" s="2">
        <v>44638.81</v>
      </c>
      <c r="G90" s="2">
        <v>58.33</v>
      </c>
      <c r="H90" s="53">
        <f t="shared" ref="H90:H97" si="2">EOMONTH(B90,12)</f>
        <v>42735</v>
      </c>
    </row>
    <row r="91" spans="2:8" outlineLevel="1" x14ac:dyDescent="0.2">
      <c r="B91" s="46">
        <v>42351</v>
      </c>
      <c r="C91" s="2">
        <v>0.93</v>
      </c>
      <c r="D91" s="2">
        <v>118220.22</v>
      </c>
      <c r="E91" s="2">
        <v>794.7</v>
      </c>
      <c r="F91" s="2">
        <v>109149.67</v>
      </c>
      <c r="G91" s="2">
        <v>130.5</v>
      </c>
      <c r="H91" s="53">
        <f t="shared" si="2"/>
        <v>42735</v>
      </c>
    </row>
    <row r="92" spans="2:8" outlineLevel="1" x14ac:dyDescent="0.2">
      <c r="B92" s="46">
        <v>42344</v>
      </c>
      <c r="C92" s="2">
        <v>1.08</v>
      </c>
      <c r="D92" s="2">
        <v>78992.149999999994</v>
      </c>
      <c r="E92" s="2">
        <v>1132</v>
      </c>
      <c r="F92" s="2">
        <v>71976.41</v>
      </c>
      <c r="G92" s="2">
        <v>72.58</v>
      </c>
      <c r="H92" s="53">
        <f t="shared" si="2"/>
        <v>42735</v>
      </c>
    </row>
    <row r="93" spans="2:8" outlineLevel="1" x14ac:dyDescent="0.2">
      <c r="B93" s="46">
        <v>42337</v>
      </c>
      <c r="C93" s="2">
        <v>1.28</v>
      </c>
      <c r="D93" s="2">
        <v>51039.6</v>
      </c>
      <c r="E93" s="2">
        <v>941.48</v>
      </c>
      <c r="F93" s="2">
        <v>43838.39</v>
      </c>
      <c r="G93" s="2">
        <v>75.78</v>
      </c>
      <c r="H93" s="53">
        <f t="shared" si="2"/>
        <v>42704</v>
      </c>
    </row>
    <row r="94" spans="2:8" outlineLevel="1" x14ac:dyDescent="0.2">
      <c r="B94" s="46">
        <v>42330</v>
      </c>
      <c r="C94" s="2">
        <v>1.26</v>
      </c>
      <c r="D94" s="2">
        <v>55979.78</v>
      </c>
      <c r="E94" s="2">
        <v>1184.27</v>
      </c>
      <c r="F94" s="2">
        <v>48067.99</v>
      </c>
      <c r="G94" s="2">
        <v>43.61</v>
      </c>
      <c r="H94" s="53">
        <f t="shared" si="2"/>
        <v>42704</v>
      </c>
    </row>
    <row r="95" spans="2:8" outlineLevel="1" x14ac:dyDescent="0.2">
      <c r="B95" s="46">
        <v>42323</v>
      </c>
      <c r="C95" s="2">
        <v>0.99</v>
      </c>
      <c r="D95" s="2">
        <v>83453.759999999995</v>
      </c>
      <c r="E95" s="2">
        <v>1368.92</v>
      </c>
      <c r="F95" s="2">
        <v>73672.72</v>
      </c>
      <c r="G95" s="2">
        <v>93.26</v>
      </c>
      <c r="H95" s="53">
        <f t="shared" si="2"/>
        <v>42704</v>
      </c>
    </row>
    <row r="96" spans="2:8" outlineLevel="1" x14ac:dyDescent="0.2">
      <c r="B96" s="46">
        <v>42316</v>
      </c>
      <c r="C96" s="2">
        <v>0.98</v>
      </c>
      <c r="D96" s="2">
        <v>109428.33</v>
      </c>
      <c r="E96" s="2">
        <v>703.75</v>
      </c>
      <c r="F96" s="2">
        <v>101815.36</v>
      </c>
      <c r="G96" s="2">
        <v>80</v>
      </c>
      <c r="H96" s="53">
        <f t="shared" si="2"/>
        <v>42704</v>
      </c>
    </row>
    <row r="97" spans="2:8" outlineLevel="1" x14ac:dyDescent="0.2">
      <c r="B97" s="46">
        <v>42309</v>
      </c>
      <c r="C97" s="2">
        <v>1.02</v>
      </c>
      <c r="D97" s="2">
        <v>99811.42</v>
      </c>
      <c r="E97" s="2">
        <v>1022.15</v>
      </c>
      <c r="F97" s="2">
        <v>87315.57</v>
      </c>
      <c r="G97" s="2">
        <v>85.34</v>
      </c>
      <c r="H97" s="53">
        <f t="shared" si="2"/>
        <v>42704</v>
      </c>
    </row>
    <row r="98" spans="2:8" outlineLevel="1" x14ac:dyDescent="0.2"/>
    <row r="99" spans="2:8" outlineLevel="1" x14ac:dyDescent="0.2"/>
    <row r="100" spans="2:8" outlineLevel="1" x14ac:dyDescent="0.2"/>
    <row r="101" spans="2:8" outlineLevel="1" x14ac:dyDescent="0.2"/>
    <row r="102" spans="2:8" outlineLevel="1" x14ac:dyDescent="0.2"/>
    <row r="103" spans="2:8" ht="15" outlineLevel="1" x14ac:dyDescent="0.25">
      <c r="B103" s="4" t="s">
        <v>1021</v>
      </c>
    </row>
    <row r="104" spans="2:8" outlineLevel="1" x14ac:dyDescent="0.2">
      <c r="B104" s="2" t="s">
        <v>1022</v>
      </c>
    </row>
    <row r="105" spans="2:8" outlineLevel="1" x14ac:dyDescent="0.2"/>
    <row r="106" spans="2:8" outlineLevel="1" x14ac:dyDescent="0.2"/>
    <row r="107" spans="2:8" outlineLevel="1" x14ac:dyDescent="0.2"/>
    <row r="108" spans="2:8" outlineLevel="1" x14ac:dyDescent="0.2"/>
    <row r="109" spans="2:8" ht="15" outlineLevel="1" x14ac:dyDescent="0.25">
      <c r="B109" s="38" t="s">
        <v>1015</v>
      </c>
      <c r="C109" s="38" t="s">
        <v>1016</v>
      </c>
      <c r="D109" s="38" t="s">
        <v>742</v>
      </c>
      <c r="E109" s="38" t="s">
        <v>1017</v>
      </c>
      <c r="F109" s="38" t="s">
        <v>1018</v>
      </c>
      <c r="G109" s="52" t="s">
        <v>1024</v>
      </c>
    </row>
    <row r="110" spans="2:8" outlineLevel="1" x14ac:dyDescent="0.2">
      <c r="B110" s="2">
        <v>1</v>
      </c>
      <c r="C110" s="2">
        <v>1</v>
      </c>
      <c r="D110" s="46">
        <v>40214</v>
      </c>
      <c r="E110" s="2">
        <v>24924.5</v>
      </c>
      <c r="F110" s="2" t="s">
        <v>1019</v>
      </c>
      <c r="G110" s="53">
        <f>EOMONTH(D110,24)</f>
        <v>40968</v>
      </c>
    </row>
    <row r="111" spans="2:8" outlineLevel="1" x14ac:dyDescent="0.2">
      <c r="B111" s="2">
        <v>1</v>
      </c>
      <c r="C111" s="2">
        <v>1</v>
      </c>
      <c r="D111" s="46">
        <v>40221</v>
      </c>
      <c r="E111" s="2">
        <v>46039.49</v>
      </c>
      <c r="F111" s="2" t="s">
        <v>1020</v>
      </c>
      <c r="G111" s="53">
        <f t="shared" ref="G111:G123" si="3">EOMONTH(D111,24)</f>
        <v>40968</v>
      </c>
    </row>
    <row r="112" spans="2:8" outlineLevel="1" x14ac:dyDescent="0.2">
      <c r="B112" s="2">
        <v>1</v>
      </c>
      <c r="C112" s="2">
        <v>1</v>
      </c>
      <c r="D112" s="46">
        <v>40228</v>
      </c>
      <c r="E112" s="2">
        <v>41595.550000000003</v>
      </c>
      <c r="F112" s="2" t="s">
        <v>1019</v>
      </c>
      <c r="G112" s="53">
        <f t="shared" si="3"/>
        <v>40968</v>
      </c>
    </row>
    <row r="113" spans="2:7" outlineLevel="1" x14ac:dyDescent="0.2">
      <c r="B113" s="2">
        <v>1</v>
      </c>
      <c r="C113" s="2">
        <v>1</v>
      </c>
      <c r="D113" s="46">
        <v>40235</v>
      </c>
      <c r="E113" s="2">
        <v>19403.54</v>
      </c>
      <c r="F113" s="2" t="s">
        <v>1019</v>
      </c>
      <c r="G113" s="53">
        <f t="shared" si="3"/>
        <v>40968</v>
      </c>
    </row>
    <row r="114" spans="2:7" x14ac:dyDescent="0.2">
      <c r="B114" s="2">
        <v>1</v>
      </c>
      <c r="C114" s="2">
        <v>1</v>
      </c>
      <c r="D114" s="46">
        <v>40242</v>
      </c>
      <c r="E114" s="2">
        <v>21827.9</v>
      </c>
      <c r="F114" s="2" t="s">
        <v>1019</v>
      </c>
      <c r="G114" s="53">
        <f t="shared" si="3"/>
        <v>40999</v>
      </c>
    </row>
    <row r="115" spans="2:7" x14ac:dyDescent="0.2">
      <c r="B115" s="2">
        <v>1</v>
      </c>
      <c r="C115" s="2">
        <v>1</v>
      </c>
      <c r="D115" s="46">
        <v>40249</v>
      </c>
      <c r="E115" s="2">
        <v>21043.39</v>
      </c>
      <c r="F115" s="2" t="s">
        <v>1019</v>
      </c>
      <c r="G115" s="53">
        <f t="shared" si="3"/>
        <v>40999</v>
      </c>
    </row>
    <row r="116" spans="2:7" x14ac:dyDescent="0.2">
      <c r="B116" s="2">
        <v>1</v>
      </c>
      <c r="C116" s="2">
        <v>1</v>
      </c>
      <c r="D116" s="46">
        <v>40256</v>
      </c>
      <c r="E116" s="2">
        <v>22136.639999999999</v>
      </c>
      <c r="F116" s="2" t="s">
        <v>1019</v>
      </c>
      <c r="G116" s="53">
        <f t="shared" si="3"/>
        <v>40999</v>
      </c>
    </row>
    <row r="117" spans="2:7" x14ac:dyDescent="0.2">
      <c r="B117" s="2">
        <v>1</v>
      </c>
      <c r="C117" s="2">
        <v>1</v>
      </c>
      <c r="D117" s="46">
        <v>40263</v>
      </c>
      <c r="E117" s="2">
        <v>26229.21</v>
      </c>
      <c r="F117" s="2" t="s">
        <v>1019</v>
      </c>
      <c r="G117" s="53">
        <f t="shared" si="3"/>
        <v>40999</v>
      </c>
    </row>
    <row r="118" spans="2:7" x14ac:dyDescent="0.2">
      <c r="B118" s="2">
        <v>1</v>
      </c>
      <c r="C118" s="2">
        <v>1</v>
      </c>
      <c r="D118" s="46">
        <v>40270</v>
      </c>
      <c r="E118" s="2">
        <v>57258.43</v>
      </c>
      <c r="F118" s="2" t="s">
        <v>1019</v>
      </c>
      <c r="G118" s="53">
        <f t="shared" si="3"/>
        <v>41029</v>
      </c>
    </row>
    <row r="119" spans="2:7" x14ac:dyDescent="0.2">
      <c r="B119" s="2">
        <v>1</v>
      </c>
      <c r="C119" s="2">
        <v>1</v>
      </c>
      <c r="D119" s="46">
        <v>40277</v>
      </c>
      <c r="E119" s="2">
        <v>42960.91</v>
      </c>
      <c r="F119" s="2" t="s">
        <v>1019</v>
      </c>
      <c r="G119" s="53">
        <f t="shared" si="3"/>
        <v>41029</v>
      </c>
    </row>
    <row r="120" spans="2:7" x14ac:dyDescent="0.2">
      <c r="B120" s="2">
        <v>1</v>
      </c>
      <c r="C120" s="2">
        <v>1</v>
      </c>
      <c r="D120" s="46">
        <v>40284</v>
      </c>
      <c r="E120" s="2">
        <v>17596.96</v>
      </c>
      <c r="F120" s="2" t="s">
        <v>1019</v>
      </c>
      <c r="G120" s="53">
        <f t="shared" si="3"/>
        <v>41029</v>
      </c>
    </row>
    <row r="121" spans="2:7" x14ac:dyDescent="0.2">
      <c r="B121" s="2">
        <v>1</v>
      </c>
      <c r="C121" s="2">
        <v>1</v>
      </c>
      <c r="D121" s="46">
        <v>40291</v>
      </c>
      <c r="E121" s="2">
        <v>16145.35</v>
      </c>
      <c r="F121" s="2" t="s">
        <v>1019</v>
      </c>
      <c r="G121" s="53">
        <f t="shared" si="3"/>
        <v>41029</v>
      </c>
    </row>
    <row r="122" spans="2:7" x14ac:dyDescent="0.2">
      <c r="B122" s="2">
        <v>1</v>
      </c>
      <c r="C122" s="2">
        <v>1</v>
      </c>
      <c r="D122" s="46">
        <v>40298</v>
      </c>
      <c r="E122" s="2">
        <v>16555.11</v>
      </c>
      <c r="F122" s="2" t="s">
        <v>1019</v>
      </c>
      <c r="G122" s="53">
        <f t="shared" si="3"/>
        <v>41029</v>
      </c>
    </row>
    <row r="123" spans="2:7" x14ac:dyDescent="0.2">
      <c r="B123" s="2">
        <v>1</v>
      </c>
      <c r="C123" s="2">
        <v>1</v>
      </c>
      <c r="D123" s="46">
        <v>40305</v>
      </c>
      <c r="E123" s="2">
        <v>17413.939999999999</v>
      </c>
      <c r="F123" s="2" t="s">
        <v>1019</v>
      </c>
      <c r="G123" s="53">
        <f t="shared" si="3"/>
        <v>41060</v>
      </c>
    </row>
    <row r="124" spans="2:7" x14ac:dyDescent="0.2">
      <c r="C124" s="29"/>
    </row>
    <row r="125" spans="2:7" x14ac:dyDescent="0.2">
      <c r="C125" s="3"/>
    </row>
    <row r="126" spans="2:7" x14ac:dyDescent="0.2">
      <c r="C126" s="29"/>
    </row>
    <row r="128" spans="2:7" x14ac:dyDescent="0.2">
      <c r="C128" s="30"/>
    </row>
    <row r="129" spans="2:4" x14ac:dyDescent="0.2">
      <c r="C129" s="30"/>
    </row>
    <row r="130" spans="2:4" x14ac:dyDescent="0.2">
      <c r="C130" s="30"/>
    </row>
    <row r="131" spans="2:4" x14ac:dyDescent="0.2">
      <c r="C131" s="30"/>
    </row>
    <row r="132" spans="2:4" x14ac:dyDescent="0.2">
      <c r="C132" s="30"/>
    </row>
    <row r="133" spans="2:4" x14ac:dyDescent="0.2">
      <c r="C133" s="29"/>
      <c r="D133" s="2" t="s">
        <v>444</v>
      </c>
    </row>
    <row r="134" spans="2:4" x14ac:dyDescent="0.2">
      <c r="C134" s="30"/>
    </row>
    <row r="140" spans="2:4" ht="15" x14ac:dyDescent="0.25">
      <c r="B140" s="4"/>
    </row>
    <row r="155" spans="2:2" ht="15" x14ac:dyDescent="0.25">
      <c r="B155" s="4"/>
    </row>
    <row r="181" spans="2:2" ht="15" x14ac:dyDescent="0.25">
      <c r="B181" s="4" t="s">
        <v>396</v>
      </c>
    </row>
    <row r="182" spans="2:2" x14ac:dyDescent="0.2">
      <c r="B182" s="2" t="s">
        <v>397</v>
      </c>
    </row>
    <row r="196" spans="2:2" ht="15" x14ac:dyDescent="0.25">
      <c r="B196" s="4" t="s">
        <v>396</v>
      </c>
    </row>
    <row r="197" spans="2:2" x14ac:dyDescent="0.2">
      <c r="B197" s="2" t="s">
        <v>397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D8EE-9B11-4C62-A2BA-5CC579308DB8}">
  <dimension ref="B22:J61"/>
  <sheetViews>
    <sheetView showGridLines="0" topLeftCell="B1" zoomScale="92" zoomScaleNormal="92" workbookViewId="0">
      <pane ySplit="3" topLeftCell="A22" activePane="bottomLeft" state="frozen"/>
      <selection pane="bottomLeft" activeCell="J26" sqref="J26"/>
    </sheetView>
  </sheetViews>
  <sheetFormatPr baseColWidth="10" defaultColWidth="11.5" defaultRowHeight="14.25" x14ac:dyDescent="0.2"/>
  <cols>
    <col min="1" max="1" width="1.5" style="2" customWidth="1"/>
    <col min="2" max="2" width="18.5" style="2" customWidth="1"/>
    <col min="3" max="3" width="12.75" style="2" bestFit="1" customWidth="1"/>
    <col min="4" max="4" width="14.875" style="2" bestFit="1" customWidth="1"/>
    <col min="5" max="5" width="10.875" style="2" bestFit="1" customWidth="1"/>
    <col min="6" max="6" width="12.375" style="2" bestFit="1" customWidth="1"/>
    <col min="7" max="9" width="18.125" style="2" bestFit="1" customWidth="1"/>
    <col min="10" max="10" width="28.25" style="2" customWidth="1"/>
    <col min="11" max="11" width="9.5" style="2" bestFit="1" customWidth="1"/>
    <col min="12" max="16384" width="11.5" style="2"/>
  </cols>
  <sheetData>
    <row r="22" spans="2:10" ht="15" x14ac:dyDescent="0.25">
      <c r="B22" s="4" t="s">
        <v>1025</v>
      </c>
    </row>
    <row r="23" spans="2:10" x14ac:dyDescent="0.2">
      <c r="B23" s="2" t="s">
        <v>1026</v>
      </c>
    </row>
    <row r="25" spans="2:10" ht="15" x14ac:dyDescent="0.25">
      <c r="B25" s="21" t="s">
        <v>1027</v>
      </c>
      <c r="C25" s="21" t="s">
        <v>1028</v>
      </c>
      <c r="D25" s="21" t="s">
        <v>1029</v>
      </c>
      <c r="E25" s="21" t="s">
        <v>1030</v>
      </c>
      <c r="F25" s="21" t="s">
        <v>1031</v>
      </c>
      <c r="G25" s="21" t="s">
        <v>1088</v>
      </c>
      <c r="H25" s="21" t="s">
        <v>1089</v>
      </c>
      <c r="I25" s="21" t="s">
        <v>1090</v>
      </c>
      <c r="J25" s="21" t="s">
        <v>1091</v>
      </c>
    </row>
    <row r="26" spans="2:10" x14ac:dyDescent="0.2">
      <c r="B26" s="15" t="s">
        <v>1032</v>
      </c>
      <c r="C26" s="15" t="s">
        <v>1033</v>
      </c>
      <c r="D26" s="15" t="s">
        <v>1034</v>
      </c>
      <c r="E26" s="47">
        <v>43251</v>
      </c>
      <c r="F26" s="47">
        <v>44488</v>
      </c>
      <c r="G26" s="17">
        <f>DATEDIF(E26,F26,"D")</f>
        <v>1237</v>
      </c>
      <c r="H26" s="17">
        <f>DATEDIF(E26,F26,"m")</f>
        <v>40</v>
      </c>
      <c r="I26" s="57">
        <f>DATEDIF(E26,F26,"Y")</f>
        <v>3</v>
      </c>
      <c r="J26" s="17" t="str">
        <f>_xlfn.CONCAT(DATEDIF(E26,F26,"Y")," años ",DATEDIF(E26,F26,"YM")," meses ",DATEDIF(E26,F26,"MD")," días.")</f>
        <v>3 años 4 meses 18 días.</v>
      </c>
    </row>
    <row r="27" spans="2:10" x14ac:dyDescent="0.2">
      <c r="B27" s="15" t="s">
        <v>1035</v>
      </c>
      <c r="C27" s="15" t="s">
        <v>936</v>
      </c>
      <c r="D27" s="15" t="s">
        <v>1036</v>
      </c>
      <c r="E27" s="47">
        <v>43251</v>
      </c>
      <c r="F27" s="47">
        <v>44502</v>
      </c>
      <c r="G27" s="17">
        <f t="shared" ref="G27:G38" si="0">DATEDIF(E27,F27,"D")</f>
        <v>1251</v>
      </c>
      <c r="H27" s="17">
        <f t="shared" ref="H27:H38" si="1">DATEDIF(E27,F27,"m")</f>
        <v>41</v>
      </c>
      <c r="I27" s="17">
        <f t="shared" ref="I27:I38" si="2">DATEDIF(E27,F27,"Y")</f>
        <v>3</v>
      </c>
      <c r="J27" s="17" t="str">
        <f t="shared" ref="J27:J38" si="3">_xlfn.CONCAT(DATEDIF(E27,F27,"Y")," años ",DATEDIF(E27,F27,"YM")," meses ",DATEDIF(E27,F27,"MD")," días.")</f>
        <v>3 años 5 meses 2 días.</v>
      </c>
    </row>
    <row r="28" spans="2:10" x14ac:dyDescent="0.2">
      <c r="B28" s="15" t="s">
        <v>1037</v>
      </c>
      <c r="C28" s="15" t="s">
        <v>1038</v>
      </c>
      <c r="D28" s="15" t="s">
        <v>1034</v>
      </c>
      <c r="E28" s="47">
        <v>43251</v>
      </c>
      <c r="F28" s="47">
        <v>44501</v>
      </c>
      <c r="G28" s="17">
        <f t="shared" si="0"/>
        <v>1250</v>
      </c>
      <c r="H28" s="17">
        <f t="shared" si="1"/>
        <v>41</v>
      </c>
      <c r="I28" s="17">
        <f t="shared" si="2"/>
        <v>3</v>
      </c>
      <c r="J28" s="17" t="str">
        <f t="shared" si="3"/>
        <v>3 años 5 meses 1 días.</v>
      </c>
    </row>
    <row r="29" spans="2:10" x14ac:dyDescent="0.2">
      <c r="B29" s="15" t="s">
        <v>1039</v>
      </c>
      <c r="C29" s="15" t="s">
        <v>1040</v>
      </c>
      <c r="D29" s="15" t="s">
        <v>1036</v>
      </c>
      <c r="E29" s="47">
        <v>43251</v>
      </c>
      <c r="F29" s="47">
        <v>44476</v>
      </c>
      <c r="G29" s="17">
        <f t="shared" si="0"/>
        <v>1225</v>
      </c>
      <c r="H29" s="17">
        <f t="shared" si="1"/>
        <v>40</v>
      </c>
      <c r="I29" s="17">
        <f t="shared" si="2"/>
        <v>3</v>
      </c>
      <c r="J29" s="17" t="str">
        <f t="shared" si="3"/>
        <v>3 años 4 meses 6 días.</v>
      </c>
    </row>
    <row r="30" spans="2:10" x14ac:dyDescent="0.2">
      <c r="B30" s="15" t="s">
        <v>1041</v>
      </c>
      <c r="C30" s="15" t="s">
        <v>1038</v>
      </c>
      <c r="D30" s="15" t="s">
        <v>1036</v>
      </c>
      <c r="E30" s="47">
        <v>43251</v>
      </c>
      <c r="F30" s="47">
        <v>44495</v>
      </c>
      <c r="G30" s="17">
        <f t="shared" si="0"/>
        <v>1244</v>
      </c>
      <c r="H30" s="17">
        <f t="shared" si="1"/>
        <v>40</v>
      </c>
      <c r="I30" s="17">
        <f t="shared" si="2"/>
        <v>3</v>
      </c>
      <c r="J30" s="17" t="str">
        <f t="shared" si="3"/>
        <v>3 años 4 meses 25 días.</v>
      </c>
    </row>
    <row r="31" spans="2:10" x14ac:dyDescent="0.2">
      <c r="B31" s="15" t="s">
        <v>1042</v>
      </c>
      <c r="C31" s="15" t="s">
        <v>936</v>
      </c>
      <c r="D31" s="15" t="s">
        <v>1043</v>
      </c>
      <c r="E31" s="47">
        <v>43251</v>
      </c>
      <c r="F31" s="47">
        <v>44482</v>
      </c>
      <c r="G31" s="17">
        <f t="shared" si="0"/>
        <v>1231</v>
      </c>
      <c r="H31" s="17">
        <f t="shared" si="1"/>
        <v>40</v>
      </c>
      <c r="I31" s="17">
        <f t="shared" si="2"/>
        <v>3</v>
      </c>
      <c r="J31" s="17" t="str">
        <f t="shared" si="3"/>
        <v>3 años 4 meses 12 días.</v>
      </c>
    </row>
    <row r="32" spans="2:10" x14ac:dyDescent="0.2">
      <c r="B32" s="15" t="s">
        <v>1044</v>
      </c>
      <c r="C32" s="15" t="s">
        <v>1033</v>
      </c>
      <c r="D32" s="15" t="s">
        <v>1045</v>
      </c>
      <c r="E32" s="47">
        <v>43251</v>
      </c>
      <c r="F32" s="47">
        <v>44483</v>
      </c>
      <c r="G32" s="17">
        <f t="shared" si="0"/>
        <v>1232</v>
      </c>
      <c r="H32" s="17">
        <f t="shared" si="1"/>
        <v>40</v>
      </c>
      <c r="I32" s="17">
        <f t="shared" si="2"/>
        <v>3</v>
      </c>
      <c r="J32" s="17" t="str">
        <f t="shared" si="3"/>
        <v>3 años 4 meses 13 días.</v>
      </c>
    </row>
    <row r="33" spans="2:10" x14ac:dyDescent="0.2">
      <c r="B33" s="15" t="s">
        <v>1046</v>
      </c>
      <c r="C33" s="15" t="s">
        <v>1033</v>
      </c>
      <c r="D33" s="15" t="s">
        <v>1043</v>
      </c>
      <c r="E33" s="47">
        <v>43251</v>
      </c>
      <c r="F33" s="47">
        <v>44501</v>
      </c>
      <c r="G33" s="17">
        <f t="shared" si="0"/>
        <v>1250</v>
      </c>
      <c r="H33" s="17">
        <f t="shared" si="1"/>
        <v>41</v>
      </c>
      <c r="I33" s="17">
        <f t="shared" si="2"/>
        <v>3</v>
      </c>
      <c r="J33" s="17" t="str">
        <f t="shared" si="3"/>
        <v>3 años 5 meses 1 días.</v>
      </c>
    </row>
    <row r="34" spans="2:10" x14ac:dyDescent="0.2">
      <c r="B34" s="15" t="s">
        <v>1047</v>
      </c>
      <c r="C34" s="15" t="s">
        <v>1033</v>
      </c>
      <c r="D34" s="15" t="s">
        <v>1043</v>
      </c>
      <c r="E34" s="47">
        <v>43252</v>
      </c>
      <c r="F34" s="47">
        <v>44490</v>
      </c>
      <c r="G34" s="17">
        <f t="shared" si="0"/>
        <v>1238</v>
      </c>
      <c r="H34" s="17">
        <f t="shared" si="1"/>
        <v>40</v>
      </c>
      <c r="I34" s="17">
        <f t="shared" si="2"/>
        <v>3</v>
      </c>
      <c r="J34" s="17" t="str">
        <f t="shared" si="3"/>
        <v>3 años 4 meses 20 días.</v>
      </c>
    </row>
    <row r="35" spans="2:10" x14ac:dyDescent="0.2">
      <c r="B35" s="15" t="s">
        <v>1048</v>
      </c>
      <c r="C35" s="15" t="s">
        <v>1033</v>
      </c>
      <c r="D35" s="15" t="s">
        <v>1034</v>
      </c>
      <c r="E35" s="47">
        <v>43252</v>
      </c>
      <c r="F35" s="47">
        <v>44501</v>
      </c>
      <c r="G35" s="17">
        <f t="shared" si="0"/>
        <v>1249</v>
      </c>
      <c r="H35" s="17">
        <f t="shared" si="1"/>
        <v>41</v>
      </c>
      <c r="I35" s="17">
        <f t="shared" si="2"/>
        <v>3</v>
      </c>
      <c r="J35" s="17" t="str">
        <f t="shared" si="3"/>
        <v>3 años 5 meses 0 días.</v>
      </c>
    </row>
    <row r="36" spans="2:10" x14ac:dyDescent="0.2">
      <c r="B36" s="15" t="s">
        <v>1049</v>
      </c>
      <c r="C36" s="15" t="s">
        <v>1038</v>
      </c>
      <c r="D36" s="15" t="s">
        <v>1045</v>
      </c>
      <c r="E36" s="47">
        <v>43252</v>
      </c>
      <c r="F36" s="47">
        <v>44489</v>
      </c>
      <c r="G36" s="17">
        <f t="shared" si="0"/>
        <v>1237</v>
      </c>
      <c r="H36" s="17">
        <f t="shared" si="1"/>
        <v>40</v>
      </c>
      <c r="I36" s="17">
        <f t="shared" si="2"/>
        <v>3</v>
      </c>
      <c r="J36" s="17" t="str">
        <f t="shared" si="3"/>
        <v>3 años 4 meses 19 días.</v>
      </c>
    </row>
    <row r="37" spans="2:10" x14ac:dyDescent="0.2">
      <c r="B37" s="15" t="s">
        <v>1050</v>
      </c>
      <c r="C37" s="15" t="s">
        <v>1033</v>
      </c>
      <c r="D37" s="15" t="s">
        <v>1036</v>
      </c>
      <c r="E37" s="47">
        <v>43252</v>
      </c>
      <c r="F37" s="47">
        <v>44486</v>
      </c>
      <c r="G37" s="17">
        <f t="shared" si="0"/>
        <v>1234</v>
      </c>
      <c r="H37" s="17">
        <f t="shared" si="1"/>
        <v>40</v>
      </c>
      <c r="I37" s="17">
        <f t="shared" si="2"/>
        <v>3</v>
      </c>
      <c r="J37" s="17" t="str">
        <f>_xlfn.CONCAT(DATEDIF(E37,F37,"Y")," años ",DATEDIF(E37,F37,"YM")," meses ",DATEDIF(E37,F37,"MD")," días.")</f>
        <v>3 años 4 meses 16 días.</v>
      </c>
    </row>
    <row r="38" spans="2:10" x14ac:dyDescent="0.2">
      <c r="B38" s="15" t="s">
        <v>1051</v>
      </c>
      <c r="C38" s="15" t="s">
        <v>1033</v>
      </c>
      <c r="D38" s="15" t="s">
        <v>1043</v>
      </c>
      <c r="E38" s="47">
        <v>43252</v>
      </c>
      <c r="F38" s="47">
        <v>44502</v>
      </c>
      <c r="G38" s="17">
        <f t="shared" si="0"/>
        <v>1250</v>
      </c>
      <c r="H38" s="17">
        <f t="shared" si="1"/>
        <v>41</v>
      </c>
      <c r="I38" s="17">
        <f t="shared" si="2"/>
        <v>3</v>
      </c>
      <c r="J38" s="17" t="str">
        <f t="shared" si="3"/>
        <v>3 años 5 meses 1 días.</v>
      </c>
    </row>
    <row r="43" spans="2:10" ht="15" x14ac:dyDescent="0.25">
      <c r="B43" s="4" t="s">
        <v>1053</v>
      </c>
    </row>
    <row r="44" spans="2:10" x14ac:dyDescent="0.2">
      <c r="B44" s="2" t="s">
        <v>1054</v>
      </c>
    </row>
    <row r="49" spans="2:4" ht="15" x14ac:dyDescent="0.25">
      <c r="B49" s="21" t="s">
        <v>1052</v>
      </c>
      <c r="C49" s="21" t="s">
        <v>923</v>
      </c>
      <c r="D49" s="21" t="s">
        <v>1055</v>
      </c>
    </row>
    <row r="50" spans="2:4" x14ac:dyDescent="0.2">
      <c r="B50" s="47">
        <v>16081</v>
      </c>
      <c r="C50" s="47">
        <v>40065</v>
      </c>
      <c r="D50" s="121" t="str">
        <f>_xlfn.CONCAT(DATEDIF(B50,C50,"Y")," años ",DATEDIF(B50,C50,"YM")," meses")</f>
        <v>65 años 7 meses</v>
      </c>
    </row>
    <row r="51" spans="2:4" x14ac:dyDescent="0.2">
      <c r="B51" s="47">
        <v>15374</v>
      </c>
      <c r="C51" s="47">
        <v>39668</v>
      </c>
      <c r="D51" s="121" t="str">
        <f t="shared" ref="D51:D61" si="4">_xlfn.CONCAT(DATEDIF(B51,C51,"Y")," años ",DATEDIF(B51,C51,"YM")," meses")</f>
        <v>66 años 6 meses</v>
      </c>
    </row>
    <row r="52" spans="2:4" x14ac:dyDescent="0.2">
      <c r="B52" s="47">
        <v>15078</v>
      </c>
      <c r="C52" s="47">
        <v>39060</v>
      </c>
      <c r="D52" s="121" t="str">
        <f t="shared" si="4"/>
        <v>65 años 7 meses</v>
      </c>
    </row>
    <row r="53" spans="2:4" x14ac:dyDescent="0.2">
      <c r="B53" s="47">
        <v>15018</v>
      </c>
      <c r="C53" s="47">
        <v>38938</v>
      </c>
      <c r="D53" s="121" t="str">
        <f t="shared" si="4"/>
        <v>65 años 5 meses</v>
      </c>
    </row>
    <row r="54" spans="2:4" x14ac:dyDescent="0.2">
      <c r="B54" s="47">
        <v>15010</v>
      </c>
      <c r="C54" s="47">
        <v>39242</v>
      </c>
      <c r="D54" s="121" t="str">
        <f t="shared" si="4"/>
        <v>66 años 4 meses</v>
      </c>
    </row>
    <row r="55" spans="2:4" x14ac:dyDescent="0.2">
      <c r="B55" s="47">
        <v>15007</v>
      </c>
      <c r="C55" s="47">
        <v>38875</v>
      </c>
      <c r="D55" s="121" t="str">
        <f t="shared" si="4"/>
        <v>65 años 4 meses</v>
      </c>
    </row>
    <row r="56" spans="2:4" x14ac:dyDescent="0.2">
      <c r="B56" s="47">
        <v>14980</v>
      </c>
      <c r="C56" s="47">
        <v>39547</v>
      </c>
      <c r="D56" s="121" t="str">
        <f t="shared" si="4"/>
        <v>67 años 3 meses</v>
      </c>
    </row>
    <row r="57" spans="2:4" x14ac:dyDescent="0.2">
      <c r="B57" s="47">
        <v>14960</v>
      </c>
      <c r="C57" s="47">
        <v>39425</v>
      </c>
      <c r="D57" s="121" t="str">
        <f t="shared" si="4"/>
        <v>66 años 11 meses</v>
      </c>
    </row>
    <row r="58" spans="2:4" x14ac:dyDescent="0.2">
      <c r="B58" s="47">
        <v>14927</v>
      </c>
      <c r="C58" s="47">
        <v>39362</v>
      </c>
      <c r="D58" s="121" t="str">
        <f t="shared" si="4"/>
        <v>66 años 10 meses</v>
      </c>
    </row>
    <row r="59" spans="2:4" x14ac:dyDescent="0.2">
      <c r="B59" s="47">
        <v>14887</v>
      </c>
      <c r="C59" s="47">
        <v>40095</v>
      </c>
      <c r="D59" s="121" t="str">
        <f t="shared" si="4"/>
        <v>69 años 0 meses</v>
      </c>
    </row>
    <row r="60" spans="2:4" x14ac:dyDescent="0.2">
      <c r="B60" s="47">
        <v>14818</v>
      </c>
      <c r="C60" s="47">
        <v>39272</v>
      </c>
      <c r="D60" s="121" t="str">
        <f t="shared" si="4"/>
        <v>66 años 11 meses</v>
      </c>
    </row>
    <row r="61" spans="2:4" x14ac:dyDescent="0.2">
      <c r="B61" s="47">
        <v>14814</v>
      </c>
      <c r="C61" s="47">
        <v>39148</v>
      </c>
      <c r="D61" s="121" t="str">
        <f t="shared" si="4"/>
        <v>66 años 7 meses</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4521-602A-47C5-B2E7-C32F0E90A41F}">
  <dimension ref="B1:I207"/>
  <sheetViews>
    <sheetView showGridLines="0" zoomScale="115" zoomScaleNormal="115" workbookViewId="0">
      <pane ySplit="3" topLeftCell="A161" activePane="bottomLeft" state="frozen"/>
      <selection pane="bottomLeft" activeCell="H159" sqref="H159"/>
    </sheetView>
  </sheetViews>
  <sheetFormatPr baseColWidth="10" defaultColWidth="11.5" defaultRowHeight="14.25" outlineLevelRow="1" x14ac:dyDescent="0.2"/>
  <cols>
    <col min="1" max="1" width="1.5" style="2" customWidth="1"/>
    <col min="2" max="2" width="14.75" style="2" customWidth="1"/>
    <col min="3" max="3" width="13.125" style="2" bestFit="1" customWidth="1"/>
    <col min="4" max="4" width="15.25" style="2" bestFit="1" customWidth="1"/>
    <col min="5" max="5" width="13" style="2" bestFit="1" customWidth="1"/>
    <col min="6" max="6" width="15" style="2" customWidth="1"/>
    <col min="7" max="7" width="14.7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hidden="1" outlineLevel="1" x14ac:dyDescent="0.2"/>
    <row r="2" hidden="1" outlineLevel="1" x14ac:dyDescent="0.2"/>
    <row r="3" hidden="1" outlineLevel="1" x14ac:dyDescent="0.2"/>
    <row r="4" hidden="1" outlineLevel="1" x14ac:dyDescent="0.2"/>
    <row r="5" hidden="1" outlineLevel="1" x14ac:dyDescent="0.2"/>
    <row r="6" hidden="1" outlineLevel="1" x14ac:dyDescent="0.2"/>
    <row r="7" hidden="1" outlineLevel="1" x14ac:dyDescent="0.2"/>
    <row r="8" hidden="1" outlineLevel="1" x14ac:dyDescent="0.2"/>
    <row r="9" hidden="1" outlineLevel="1" x14ac:dyDescent="0.2"/>
    <row r="10" hidden="1" outlineLevel="1" x14ac:dyDescent="0.2"/>
    <row r="11" hidden="1" outlineLevel="1" x14ac:dyDescent="0.2"/>
    <row r="12" hidden="1" outlineLevel="1" x14ac:dyDescent="0.2"/>
    <row r="13" hidden="1" outlineLevel="1" x14ac:dyDescent="0.2"/>
    <row r="14" hidden="1" outlineLevel="1" x14ac:dyDescent="0.2"/>
    <row r="15" hidden="1" outlineLevel="1" x14ac:dyDescent="0.2"/>
    <row r="16" hidden="1" outlineLevel="1" x14ac:dyDescent="0.2"/>
    <row r="17" spans="2:8" hidden="1" outlineLevel="1" x14ac:dyDescent="0.2"/>
    <row r="18" spans="2:8" hidden="1" outlineLevel="1" x14ac:dyDescent="0.2"/>
    <row r="19" spans="2:8" hidden="1" outlineLevel="1" x14ac:dyDescent="0.2"/>
    <row r="20" spans="2:8" ht="15" hidden="1" outlineLevel="1" x14ac:dyDescent="0.25">
      <c r="B20" s="4" t="s">
        <v>1025</v>
      </c>
    </row>
    <row r="21" spans="2:8" hidden="1" outlineLevel="1" x14ac:dyDescent="0.2">
      <c r="B21" s="2" t="s">
        <v>1026</v>
      </c>
    </row>
    <row r="22" spans="2:8" hidden="1" outlineLevel="1" x14ac:dyDescent="0.2"/>
    <row r="23" spans="2:8" customFormat="1" ht="15" hidden="1" outlineLevel="1" x14ac:dyDescent="0.25">
      <c r="B23" s="21" t="s">
        <v>1027</v>
      </c>
      <c r="C23" s="21" t="s">
        <v>1028</v>
      </c>
      <c r="D23" s="21" t="s">
        <v>1029</v>
      </c>
      <c r="E23" s="21" t="s">
        <v>1030</v>
      </c>
      <c r="F23" s="54" t="s">
        <v>1056</v>
      </c>
      <c r="H23" s="58" t="s">
        <v>1059</v>
      </c>
    </row>
    <row r="24" spans="2:8" customFormat="1" hidden="1" outlineLevel="1" x14ac:dyDescent="0.2">
      <c r="B24" s="15" t="s">
        <v>1032</v>
      </c>
      <c r="C24" s="15" t="s">
        <v>1033</v>
      </c>
      <c r="D24" s="15" t="s">
        <v>1034</v>
      </c>
      <c r="E24" s="47">
        <v>43251</v>
      </c>
      <c r="F24" s="55">
        <f>WORKDAY(E24,5,$H$24)</f>
        <v>43259</v>
      </c>
      <c r="H24" s="5">
        <v>43257</v>
      </c>
    </row>
    <row r="25" spans="2:8" customFormat="1" hidden="1" outlineLevel="1" x14ac:dyDescent="0.2">
      <c r="B25" s="15" t="s">
        <v>1035</v>
      </c>
      <c r="C25" s="15" t="s">
        <v>936</v>
      </c>
      <c r="D25" s="15" t="s">
        <v>1036</v>
      </c>
      <c r="E25" s="47">
        <v>43251</v>
      </c>
      <c r="F25" s="55">
        <f t="shared" ref="F25:F36" si="0">WORKDAY(E25,5,$H$24)</f>
        <v>43259</v>
      </c>
    </row>
    <row r="26" spans="2:8" customFormat="1" hidden="1" outlineLevel="1" x14ac:dyDescent="0.2">
      <c r="B26" s="15" t="s">
        <v>1037</v>
      </c>
      <c r="C26" s="15" t="s">
        <v>1038</v>
      </c>
      <c r="D26" s="15" t="s">
        <v>1034</v>
      </c>
      <c r="E26" s="47">
        <v>43251</v>
      </c>
      <c r="F26" s="55">
        <f t="shared" si="0"/>
        <v>43259</v>
      </c>
    </row>
    <row r="27" spans="2:8" customFormat="1" hidden="1" outlineLevel="1" x14ac:dyDescent="0.2">
      <c r="B27" s="15" t="s">
        <v>1039</v>
      </c>
      <c r="C27" s="15" t="s">
        <v>1040</v>
      </c>
      <c r="D27" s="15" t="s">
        <v>1036</v>
      </c>
      <c r="E27" s="47">
        <v>43251</v>
      </c>
      <c r="F27" s="55">
        <f t="shared" si="0"/>
        <v>43259</v>
      </c>
    </row>
    <row r="28" spans="2:8" customFormat="1" hidden="1" outlineLevel="1" x14ac:dyDescent="0.2">
      <c r="B28" s="15" t="s">
        <v>1041</v>
      </c>
      <c r="C28" s="15" t="s">
        <v>1038</v>
      </c>
      <c r="D28" s="15" t="s">
        <v>1036</v>
      </c>
      <c r="E28" s="47">
        <v>43251</v>
      </c>
      <c r="F28" s="55">
        <f t="shared" si="0"/>
        <v>43259</v>
      </c>
    </row>
    <row r="29" spans="2:8" customFormat="1" hidden="1" outlineLevel="1" x14ac:dyDescent="0.2">
      <c r="B29" s="15" t="s">
        <v>1042</v>
      </c>
      <c r="C29" s="15" t="s">
        <v>936</v>
      </c>
      <c r="D29" s="15" t="s">
        <v>1043</v>
      </c>
      <c r="E29" s="47">
        <v>43251</v>
      </c>
      <c r="F29" s="55">
        <f t="shared" si="0"/>
        <v>43259</v>
      </c>
    </row>
    <row r="30" spans="2:8" customFormat="1" hidden="1" outlineLevel="1" x14ac:dyDescent="0.2">
      <c r="B30" s="15" t="s">
        <v>1044</v>
      </c>
      <c r="C30" s="15" t="s">
        <v>1033</v>
      </c>
      <c r="D30" s="15" t="s">
        <v>1045</v>
      </c>
      <c r="E30" s="47">
        <v>43251</v>
      </c>
      <c r="F30" s="55">
        <f t="shared" si="0"/>
        <v>43259</v>
      </c>
    </row>
    <row r="31" spans="2:8" customFormat="1" hidden="1" outlineLevel="1" x14ac:dyDescent="0.2">
      <c r="B31" s="15" t="s">
        <v>1046</v>
      </c>
      <c r="C31" s="15" t="s">
        <v>1033</v>
      </c>
      <c r="D31" s="15" t="s">
        <v>1043</v>
      </c>
      <c r="E31" s="47">
        <v>43251</v>
      </c>
      <c r="F31" s="55">
        <f t="shared" si="0"/>
        <v>43259</v>
      </c>
    </row>
    <row r="32" spans="2:8" customFormat="1" hidden="1" outlineLevel="1" x14ac:dyDescent="0.2">
      <c r="B32" s="15" t="s">
        <v>1047</v>
      </c>
      <c r="C32" s="15" t="s">
        <v>1033</v>
      </c>
      <c r="D32" s="15" t="s">
        <v>1043</v>
      </c>
      <c r="E32" s="47">
        <v>43252</v>
      </c>
      <c r="F32" s="55">
        <f t="shared" si="0"/>
        <v>43262</v>
      </c>
    </row>
    <row r="33" spans="2:6" customFormat="1" hidden="1" outlineLevel="1" x14ac:dyDescent="0.2">
      <c r="B33" s="15" t="s">
        <v>1048</v>
      </c>
      <c r="C33" s="15" t="s">
        <v>1033</v>
      </c>
      <c r="D33" s="15" t="s">
        <v>1034</v>
      </c>
      <c r="E33" s="47">
        <v>43252</v>
      </c>
      <c r="F33" s="55">
        <f t="shared" si="0"/>
        <v>43262</v>
      </c>
    </row>
    <row r="34" spans="2:6" hidden="1" outlineLevel="1" x14ac:dyDescent="0.2">
      <c r="B34" s="15" t="s">
        <v>1049</v>
      </c>
      <c r="C34" s="15" t="s">
        <v>1038</v>
      </c>
      <c r="D34" s="15" t="s">
        <v>1045</v>
      </c>
      <c r="E34" s="47">
        <v>43252</v>
      </c>
      <c r="F34" s="55">
        <f t="shared" si="0"/>
        <v>43262</v>
      </c>
    </row>
    <row r="35" spans="2:6" hidden="1" outlineLevel="1" x14ac:dyDescent="0.2">
      <c r="B35" s="15" t="s">
        <v>1050</v>
      </c>
      <c r="C35" s="15" t="s">
        <v>1033</v>
      </c>
      <c r="D35" s="15" t="s">
        <v>1036</v>
      </c>
      <c r="E35" s="47">
        <v>43252</v>
      </c>
      <c r="F35" s="55">
        <f t="shared" si="0"/>
        <v>43262</v>
      </c>
    </row>
    <row r="36" spans="2:6" hidden="1" outlineLevel="1" x14ac:dyDescent="0.2">
      <c r="B36" s="15" t="s">
        <v>1051</v>
      </c>
      <c r="C36" s="15" t="s">
        <v>1033</v>
      </c>
      <c r="D36" s="15" t="s">
        <v>1043</v>
      </c>
      <c r="E36" s="47">
        <v>43252</v>
      </c>
      <c r="F36" s="55">
        <f t="shared" si="0"/>
        <v>43262</v>
      </c>
    </row>
    <row r="37" spans="2:6" hidden="1" outlineLevel="1" x14ac:dyDescent="0.2">
      <c r="E37" s="46"/>
    </row>
    <row r="38" spans="2:6" hidden="1" outlineLevel="1" x14ac:dyDescent="0.2">
      <c r="E38" s="46"/>
    </row>
    <row r="39" spans="2:6" hidden="1" outlineLevel="1" x14ac:dyDescent="0.2">
      <c r="E39" s="46"/>
    </row>
    <row r="40" spans="2:6" ht="15" hidden="1" outlineLevel="1" x14ac:dyDescent="0.25">
      <c r="B40" s="4" t="s">
        <v>1021</v>
      </c>
    </row>
    <row r="41" spans="2:6" hidden="1" outlineLevel="1" x14ac:dyDescent="0.2">
      <c r="B41" s="2" t="s">
        <v>1022</v>
      </c>
    </row>
    <row r="42" spans="2:6" hidden="1" outlineLevel="1" x14ac:dyDescent="0.2"/>
    <row r="43" spans="2:6" hidden="1" outlineLevel="1" x14ac:dyDescent="0.2"/>
    <row r="44" spans="2:6" hidden="1" outlineLevel="1" x14ac:dyDescent="0.2"/>
    <row r="45" spans="2:6" hidden="1" outlineLevel="1" x14ac:dyDescent="0.2"/>
    <row r="46" spans="2:6" customFormat="1" ht="15" hidden="1" outlineLevel="1" x14ac:dyDescent="0.25">
      <c r="B46" s="21" t="s">
        <v>1015</v>
      </c>
      <c r="C46" s="21" t="s">
        <v>1016</v>
      </c>
      <c r="D46" s="21" t="s">
        <v>742</v>
      </c>
      <c r="E46" s="21" t="s">
        <v>1017</v>
      </c>
      <c r="F46" s="54" t="s">
        <v>1057</v>
      </c>
    </row>
    <row r="47" spans="2:6" customFormat="1" hidden="1" outlineLevel="1" x14ac:dyDescent="0.2">
      <c r="B47" s="15">
        <v>1</v>
      </c>
      <c r="C47" s="15">
        <v>1</v>
      </c>
      <c r="D47" s="47">
        <v>40214</v>
      </c>
      <c r="E47" s="15">
        <v>24924.5</v>
      </c>
      <c r="F47" s="17"/>
    </row>
    <row r="48" spans="2:6" customFormat="1" hidden="1" outlineLevel="1" x14ac:dyDescent="0.2">
      <c r="B48" s="15">
        <v>1</v>
      </c>
      <c r="C48" s="15">
        <v>1</v>
      </c>
      <c r="D48" s="47">
        <v>40221</v>
      </c>
      <c r="E48" s="15">
        <v>46039.49</v>
      </c>
      <c r="F48" s="17"/>
    </row>
    <row r="49" spans="2:6" customFormat="1" hidden="1" outlineLevel="1" x14ac:dyDescent="0.2">
      <c r="B49" s="15">
        <v>1</v>
      </c>
      <c r="C49" s="15">
        <v>1</v>
      </c>
      <c r="D49" s="47">
        <v>40228</v>
      </c>
      <c r="E49" s="15">
        <v>41595.550000000003</v>
      </c>
      <c r="F49" s="17"/>
    </row>
    <row r="50" spans="2:6" customFormat="1" hidden="1" outlineLevel="1" x14ac:dyDescent="0.2">
      <c r="B50" s="15">
        <v>1</v>
      </c>
      <c r="C50" s="15">
        <v>1</v>
      </c>
      <c r="D50" s="47">
        <v>40235</v>
      </c>
      <c r="E50" s="15">
        <v>19403.54</v>
      </c>
      <c r="F50" s="17"/>
    </row>
    <row r="51" spans="2:6" customFormat="1" hidden="1" outlineLevel="1" x14ac:dyDescent="0.2">
      <c r="B51" s="15">
        <v>1</v>
      </c>
      <c r="C51" s="15">
        <v>1</v>
      </c>
      <c r="D51" s="47">
        <v>40242</v>
      </c>
      <c r="E51" s="15">
        <v>21827.9</v>
      </c>
      <c r="F51" s="17"/>
    </row>
    <row r="52" spans="2:6" customFormat="1" hidden="1" outlineLevel="1" x14ac:dyDescent="0.2">
      <c r="B52" s="15">
        <v>1</v>
      </c>
      <c r="C52" s="15">
        <v>1</v>
      </c>
      <c r="D52" s="47">
        <v>40249</v>
      </c>
      <c r="E52" s="15">
        <v>21043.39</v>
      </c>
      <c r="F52" s="17"/>
    </row>
    <row r="53" spans="2:6" customFormat="1" hidden="1" outlineLevel="1" x14ac:dyDescent="0.2">
      <c r="B53" s="15">
        <v>1</v>
      </c>
      <c r="C53" s="15">
        <v>1</v>
      </c>
      <c r="D53" s="47">
        <v>40256</v>
      </c>
      <c r="E53" s="15">
        <v>22136.639999999999</v>
      </c>
      <c r="F53" s="17"/>
    </row>
    <row r="54" spans="2:6" customFormat="1" hidden="1" outlineLevel="1" x14ac:dyDescent="0.2">
      <c r="B54" s="15">
        <v>1</v>
      </c>
      <c r="C54" s="15">
        <v>1</v>
      </c>
      <c r="D54" s="47">
        <v>40263</v>
      </c>
      <c r="E54" s="15">
        <v>26229.21</v>
      </c>
      <c r="F54" s="17"/>
    </row>
    <row r="55" spans="2:6" customFormat="1" hidden="1" outlineLevel="1" x14ac:dyDescent="0.2">
      <c r="B55" s="15">
        <v>1</v>
      </c>
      <c r="C55" s="15">
        <v>1</v>
      </c>
      <c r="D55" s="47">
        <v>40270</v>
      </c>
      <c r="E55" s="15">
        <v>57258.43</v>
      </c>
      <c r="F55" s="17"/>
    </row>
    <row r="56" spans="2:6" customFormat="1" hidden="1" outlineLevel="1" x14ac:dyDescent="0.2">
      <c r="B56" s="15">
        <v>1</v>
      </c>
      <c r="C56" s="15">
        <v>1</v>
      </c>
      <c r="D56" s="47">
        <v>40277</v>
      </c>
      <c r="E56" s="15">
        <v>42960.91</v>
      </c>
      <c r="F56" s="17"/>
    </row>
    <row r="57" spans="2:6" customFormat="1" hidden="1" outlineLevel="1" x14ac:dyDescent="0.2">
      <c r="B57" s="15">
        <v>1</v>
      </c>
      <c r="C57" s="15">
        <v>1</v>
      </c>
      <c r="D57" s="47">
        <v>40284</v>
      </c>
      <c r="E57" s="15">
        <v>17596.96</v>
      </c>
      <c r="F57" s="17"/>
    </row>
    <row r="58" spans="2:6" customFormat="1" hidden="1" outlineLevel="1" x14ac:dyDescent="0.2">
      <c r="B58" s="15">
        <v>1</v>
      </c>
      <c r="C58" s="15">
        <v>1</v>
      </c>
      <c r="D58" s="47">
        <v>40291</v>
      </c>
      <c r="E58" s="15">
        <v>16145.35</v>
      </c>
      <c r="F58" s="17"/>
    </row>
    <row r="59" spans="2:6" customFormat="1" hidden="1" outlineLevel="1" x14ac:dyDescent="0.2">
      <c r="B59" s="15">
        <v>1</v>
      </c>
      <c r="C59" s="15">
        <v>1</v>
      </c>
      <c r="D59" s="47">
        <v>40298</v>
      </c>
      <c r="E59" s="15">
        <v>16555.11</v>
      </c>
      <c r="F59" s="17"/>
    </row>
    <row r="60" spans="2:6" customFormat="1" hidden="1" outlineLevel="1" x14ac:dyDescent="0.2">
      <c r="B60" s="15">
        <v>1</v>
      </c>
      <c r="C60" s="15">
        <v>1</v>
      </c>
      <c r="D60" s="47">
        <v>40305</v>
      </c>
      <c r="E60" s="15">
        <v>17413.939999999999</v>
      </c>
      <c r="F60" s="17"/>
    </row>
    <row r="61" spans="2:6" customFormat="1" collapsed="1" x14ac:dyDescent="0.2"/>
    <row r="62" spans="2:6" customFormat="1" x14ac:dyDescent="0.2"/>
    <row r="63" spans="2:6" customFormat="1" x14ac:dyDescent="0.2"/>
    <row r="68" outlineLevel="1" x14ac:dyDescent="0.2"/>
    <row r="69" outlineLevel="1" x14ac:dyDescent="0.2"/>
    <row r="70" outlineLevel="1" x14ac:dyDescent="0.2"/>
    <row r="71" outlineLevel="1" x14ac:dyDescent="0.2"/>
    <row r="72" outlineLevel="1" x14ac:dyDescent="0.2"/>
    <row r="73" outlineLevel="1" x14ac:dyDescent="0.2"/>
    <row r="74" outlineLevel="1" x14ac:dyDescent="0.2"/>
    <row r="75" outlineLevel="1" x14ac:dyDescent="0.2"/>
    <row r="76" outlineLevel="1" x14ac:dyDescent="0.2"/>
    <row r="77" outlineLevel="1" x14ac:dyDescent="0.2"/>
    <row r="78" outlineLevel="1" x14ac:dyDescent="0.2"/>
    <row r="79" outlineLevel="1" x14ac:dyDescent="0.2"/>
    <row r="80" outlineLevel="1" x14ac:dyDescent="0.2"/>
    <row r="81" spans="2:9" outlineLevel="1" x14ac:dyDescent="0.2"/>
    <row r="82" spans="2:9" outlineLevel="1" x14ac:dyDescent="0.2"/>
    <row r="83" spans="2:9" outlineLevel="1" x14ac:dyDescent="0.2"/>
    <row r="84" spans="2:9" outlineLevel="1" x14ac:dyDescent="0.2"/>
    <row r="85" spans="2:9" outlineLevel="1" x14ac:dyDescent="0.2"/>
    <row r="86" spans="2:9" outlineLevel="1" x14ac:dyDescent="0.2"/>
    <row r="87" spans="2:9" ht="15" outlineLevel="1" x14ac:dyDescent="0.25">
      <c r="B87" s="4" t="s">
        <v>1025</v>
      </c>
    </row>
    <row r="88" spans="2:9" outlineLevel="1" x14ac:dyDescent="0.2">
      <c r="B88" s="2" t="s">
        <v>1026</v>
      </c>
    </row>
    <row r="89" spans="2:9" outlineLevel="1" x14ac:dyDescent="0.2"/>
    <row r="90" spans="2:9" customFormat="1" ht="15" outlineLevel="1" x14ac:dyDescent="0.25">
      <c r="B90" s="21" t="s">
        <v>1027</v>
      </c>
      <c r="C90" s="21" t="s">
        <v>1028</v>
      </c>
      <c r="D90" s="21" t="s">
        <v>1029</v>
      </c>
      <c r="E90" s="21" t="s">
        <v>1030</v>
      </c>
      <c r="F90" s="21" t="s">
        <v>1031</v>
      </c>
      <c r="G90" s="54" t="s">
        <v>1058</v>
      </c>
      <c r="I90" s="21" t="s">
        <v>1031</v>
      </c>
    </row>
    <row r="91" spans="2:9" customFormat="1" outlineLevel="1" x14ac:dyDescent="0.2">
      <c r="B91" s="15" t="s">
        <v>1032</v>
      </c>
      <c r="C91" s="15" t="s">
        <v>1033</v>
      </c>
      <c r="D91" s="15" t="s">
        <v>1034</v>
      </c>
      <c r="E91" s="47">
        <v>43251</v>
      </c>
      <c r="F91" s="47">
        <v>43270</v>
      </c>
      <c r="G91" s="36">
        <f>NETWORKDAYS(E91,F91,$I$91)</f>
        <v>13</v>
      </c>
      <c r="I91" s="47">
        <v>43269</v>
      </c>
    </row>
    <row r="92" spans="2:9" customFormat="1" outlineLevel="1" x14ac:dyDescent="0.2">
      <c r="B92" s="15" t="s">
        <v>1035</v>
      </c>
      <c r="C92" s="15" t="s">
        <v>936</v>
      </c>
      <c r="D92" s="15" t="s">
        <v>1036</v>
      </c>
      <c r="E92" s="47">
        <v>43251</v>
      </c>
      <c r="F92" s="47">
        <v>43283</v>
      </c>
      <c r="G92" s="36">
        <f t="shared" ref="G92:G103" si="1">NETWORKDAYS(E92,F92,$I$91)</f>
        <v>22</v>
      </c>
    </row>
    <row r="93" spans="2:9" customFormat="1" outlineLevel="1" x14ac:dyDescent="0.2">
      <c r="B93" s="15" t="s">
        <v>1037</v>
      </c>
      <c r="C93" s="15" t="s">
        <v>1038</v>
      </c>
      <c r="D93" s="15" t="s">
        <v>1034</v>
      </c>
      <c r="E93" s="47">
        <v>43251</v>
      </c>
      <c r="F93" s="47">
        <v>43282</v>
      </c>
      <c r="G93" s="36">
        <f t="shared" si="1"/>
        <v>21</v>
      </c>
    </row>
    <row r="94" spans="2:9" customFormat="1" outlineLevel="1" x14ac:dyDescent="0.2">
      <c r="B94" s="15" t="s">
        <v>1039</v>
      </c>
      <c r="C94" s="15" t="s">
        <v>1040</v>
      </c>
      <c r="D94" s="15" t="s">
        <v>1036</v>
      </c>
      <c r="E94" s="47">
        <v>43251</v>
      </c>
      <c r="F94" s="47">
        <v>43258</v>
      </c>
      <c r="G94" s="36">
        <f t="shared" si="1"/>
        <v>6</v>
      </c>
    </row>
    <row r="95" spans="2:9" customFormat="1" outlineLevel="1" x14ac:dyDescent="0.2">
      <c r="B95" s="15" t="s">
        <v>1041</v>
      </c>
      <c r="C95" s="15" t="s">
        <v>1038</v>
      </c>
      <c r="D95" s="15" t="s">
        <v>1036</v>
      </c>
      <c r="E95" s="47">
        <v>43251</v>
      </c>
      <c r="F95" s="47">
        <v>43277</v>
      </c>
      <c r="G95" s="36">
        <f t="shared" si="1"/>
        <v>18</v>
      </c>
    </row>
    <row r="96" spans="2:9" outlineLevel="1" x14ac:dyDescent="0.2">
      <c r="B96" s="15" t="s">
        <v>1042</v>
      </c>
      <c r="C96" s="15" t="s">
        <v>936</v>
      </c>
      <c r="D96" s="15" t="s">
        <v>1043</v>
      </c>
      <c r="E96" s="47">
        <v>43251</v>
      </c>
      <c r="F96" s="47">
        <v>43264</v>
      </c>
      <c r="G96" s="36">
        <f t="shared" si="1"/>
        <v>10</v>
      </c>
    </row>
    <row r="97" spans="2:7" outlineLevel="1" x14ac:dyDescent="0.2">
      <c r="B97" s="15" t="s">
        <v>1044</v>
      </c>
      <c r="C97" s="15" t="s">
        <v>1033</v>
      </c>
      <c r="D97" s="15" t="s">
        <v>1045</v>
      </c>
      <c r="E97" s="47">
        <v>43251</v>
      </c>
      <c r="F97" s="47">
        <v>43265</v>
      </c>
      <c r="G97" s="36">
        <f t="shared" si="1"/>
        <v>11</v>
      </c>
    </row>
    <row r="98" spans="2:7" outlineLevel="1" x14ac:dyDescent="0.2">
      <c r="B98" s="15" t="s">
        <v>1046</v>
      </c>
      <c r="C98" s="15" t="s">
        <v>1033</v>
      </c>
      <c r="D98" s="15" t="s">
        <v>1043</v>
      </c>
      <c r="E98" s="47">
        <v>43251</v>
      </c>
      <c r="F98" s="47">
        <v>43282</v>
      </c>
      <c r="G98" s="36">
        <f t="shared" si="1"/>
        <v>21</v>
      </c>
    </row>
    <row r="99" spans="2:7" outlineLevel="1" x14ac:dyDescent="0.2">
      <c r="B99" s="15" t="s">
        <v>1047</v>
      </c>
      <c r="C99" s="15" t="s">
        <v>1033</v>
      </c>
      <c r="D99" s="15" t="s">
        <v>1043</v>
      </c>
      <c r="E99" s="47">
        <v>43252</v>
      </c>
      <c r="F99" s="47">
        <v>43272</v>
      </c>
      <c r="G99" s="36">
        <f t="shared" si="1"/>
        <v>14</v>
      </c>
    </row>
    <row r="100" spans="2:7" outlineLevel="1" x14ac:dyDescent="0.2">
      <c r="B100" s="15" t="s">
        <v>1048</v>
      </c>
      <c r="C100" s="15" t="s">
        <v>1033</v>
      </c>
      <c r="D100" s="15" t="s">
        <v>1034</v>
      </c>
      <c r="E100" s="47">
        <v>43252</v>
      </c>
      <c r="F100" s="47">
        <v>43282</v>
      </c>
      <c r="G100" s="36">
        <f t="shared" si="1"/>
        <v>20</v>
      </c>
    </row>
    <row r="101" spans="2:7" outlineLevel="1" x14ac:dyDescent="0.2">
      <c r="B101" s="15" t="s">
        <v>1049</v>
      </c>
      <c r="C101" s="15" t="s">
        <v>1038</v>
      </c>
      <c r="D101" s="15" t="s">
        <v>1045</v>
      </c>
      <c r="E101" s="47">
        <v>43252</v>
      </c>
      <c r="F101" s="47">
        <v>43271</v>
      </c>
      <c r="G101" s="36">
        <f t="shared" si="1"/>
        <v>13</v>
      </c>
    </row>
    <row r="102" spans="2:7" outlineLevel="1" x14ac:dyDescent="0.2">
      <c r="B102" s="15" t="s">
        <v>1050</v>
      </c>
      <c r="C102" s="15" t="s">
        <v>1033</v>
      </c>
      <c r="D102" s="15" t="s">
        <v>1036</v>
      </c>
      <c r="E102" s="47">
        <v>43252</v>
      </c>
      <c r="F102" s="47">
        <v>43268</v>
      </c>
      <c r="G102" s="36">
        <f t="shared" si="1"/>
        <v>11</v>
      </c>
    </row>
    <row r="103" spans="2:7" outlineLevel="1" x14ac:dyDescent="0.2">
      <c r="B103" s="15" t="s">
        <v>1051</v>
      </c>
      <c r="C103" s="15" t="s">
        <v>1033</v>
      </c>
      <c r="D103" s="15" t="s">
        <v>1043</v>
      </c>
      <c r="E103" s="47">
        <v>43252</v>
      </c>
      <c r="F103" s="47">
        <v>43283</v>
      </c>
      <c r="G103" s="36">
        <f t="shared" si="1"/>
        <v>21</v>
      </c>
    </row>
    <row r="104" spans="2:7" outlineLevel="1" x14ac:dyDescent="0.2">
      <c r="E104" s="46"/>
      <c r="F104" s="46"/>
    </row>
    <row r="105" spans="2:7" outlineLevel="1" x14ac:dyDescent="0.2">
      <c r="E105" s="46"/>
      <c r="F105" s="46"/>
    </row>
    <row r="106" spans="2:7" outlineLevel="1" x14ac:dyDescent="0.2"/>
    <row r="107" spans="2:7" outlineLevel="1" x14ac:dyDescent="0.2"/>
    <row r="108" spans="2:7" ht="15" outlineLevel="1" x14ac:dyDescent="0.25">
      <c r="B108" s="4" t="s">
        <v>1025</v>
      </c>
    </row>
    <row r="109" spans="2:7" outlineLevel="1" x14ac:dyDescent="0.2">
      <c r="B109" s="2" t="s">
        <v>1026</v>
      </c>
    </row>
    <row r="110" spans="2:7" outlineLevel="1" x14ac:dyDescent="0.2"/>
    <row r="111" spans="2:7" outlineLevel="1" x14ac:dyDescent="0.2"/>
    <row r="112" spans="2:7" outlineLevel="1" x14ac:dyDescent="0.2"/>
    <row r="113" spans="2:9" outlineLevel="1" x14ac:dyDescent="0.2"/>
    <row r="114" spans="2:9" ht="15" outlineLevel="1" x14ac:dyDescent="0.25">
      <c r="B114" s="21" t="s">
        <v>1027</v>
      </c>
      <c r="C114" s="21" t="s">
        <v>1028</v>
      </c>
      <c r="D114" s="21" t="s">
        <v>1029</v>
      </c>
      <c r="E114" s="21" t="s">
        <v>1030</v>
      </c>
      <c r="F114" s="21" t="s">
        <v>1031</v>
      </c>
      <c r="G114" s="54" t="s">
        <v>1058</v>
      </c>
      <c r="I114" s="21" t="s">
        <v>1059</v>
      </c>
    </row>
    <row r="115" spans="2:9" outlineLevel="1" x14ac:dyDescent="0.2">
      <c r="B115" s="15" t="s">
        <v>1032</v>
      </c>
      <c r="C115" s="15" t="s">
        <v>1033</v>
      </c>
      <c r="D115" s="15" t="s">
        <v>1034</v>
      </c>
      <c r="E115" s="47">
        <v>43251</v>
      </c>
      <c r="F115" s="47">
        <v>43270</v>
      </c>
      <c r="G115" s="36">
        <f>NETWORKDAYS(E115,F115,I$115:I$118)</f>
        <v>11</v>
      </c>
      <c r="I115" s="56">
        <v>43269</v>
      </c>
    </row>
    <row r="116" spans="2:9" ht="18" outlineLevel="1" x14ac:dyDescent="0.35">
      <c r="B116" s="15" t="s">
        <v>1035</v>
      </c>
      <c r="C116" s="15" t="s">
        <v>936</v>
      </c>
      <c r="D116" s="15" t="s">
        <v>1036</v>
      </c>
      <c r="E116" s="47">
        <v>43251</v>
      </c>
      <c r="F116" s="47">
        <v>43283</v>
      </c>
      <c r="G116" s="36">
        <f t="shared" ref="G116:G127" si="2">NETWORKDAYS(E116,F156,I$115:I$118)</f>
        <v>6</v>
      </c>
      <c r="I116" s="56">
        <v>43266</v>
      </c>
    </row>
    <row r="117" spans="2:9" customFormat="1" ht="18" outlineLevel="1" x14ac:dyDescent="0.35">
      <c r="B117" s="15" t="s">
        <v>1037</v>
      </c>
      <c r="C117" s="15" t="s">
        <v>1038</v>
      </c>
      <c r="D117" s="15" t="s">
        <v>1034</v>
      </c>
      <c r="E117" s="47">
        <v>43251</v>
      </c>
      <c r="F117" s="47">
        <v>43282</v>
      </c>
      <c r="G117" s="36">
        <f t="shared" si="2"/>
        <v>16</v>
      </c>
      <c r="I117" s="56">
        <v>43283</v>
      </c>
    </row>
    <row r="118" spans="2:9" customFormat="1" ht="18" outlineLevel="1" x14ac:dyDescent="0.35">
      <c r="B118" s="15" t="s">
        <v>1039</v>
      </c>
      <c r="C118" s="15" t="s">
        <v>1040</v>
      </c>
      <c r="D118" s="15" t="s">
        <v>1036</v>
      </c>
      <c r="E118" s="47">
        <v>43251</v>
      </c>
      <c r="F118" s="47">
        <v>43258</v>
      </c>
      <c r="G118" s="36">
        <f t="shared" si="2"/>
        <v>9</v>
      </c>
      <c r="I118" s="56">
        <v>43259</v>
      </c>
    </row>
    <row r="119" spans="2:9" customFormat="1" ht="18" outlineLevel="1" x14ac:dyDescent="0.35">
      <c r="B119" s="15" t="s">
        <v>1041</v>
      </c>
      <c r="C119" s="15" t="s">
        <v>1038</v>
      </c>
      <c r="D119" s="15" t="s">
        <v>1036</v>
      </c>
      <c r="E119" s="47">
        <v>43251</v>
      </c>
      <c r="F119" s="47">
        <v>43277</v>
      </c>
      <c r="G119" s="36">
        <f t="shared" si="2"/>
        <v>10</v>
      </c>
    </row>
    <row r="120" spans="2:9" customFormat="1" ht="18" outlineLevel="1" x14ac:dyDescent="0.35">
      <c r="B120" s="15" t="s">
        <v>1042</v>
      </c>
      <c r="C120" s="15" t="s">
        <v>936</v>
      </c>
      <c r="D120" s="15" t="s">
        <v>1043</v>
      </c>
      <c r="E120" s="47">
        <v>43251</v>
      </c>
      <c r="F120" s="47">
        <v>43264</v>
      </c>
      <c r="G120" s="36">
        <f t="shared" si="2"/>
        <v>19</v>
      </c>
    </row>
    <row r="121" spans="2:9" customFormat="1" ht="18" outlineLevel="1" x14ac:dyDescent="0.35">
      <c r="B121" s="15" t="s">
        <v>1044</v>
      </c>
      <c r="C121" s="15" t="s">
        <v>1033</v>
      </c>
      <c r="D121" s="15" t="s">
        <v>1045</v>
      </c>
      <c r="E121" s="47">
        <v>43251</v>
      </c>
      <c r="F121" s="47">
        <v>43265</v>
      </c>
      <c r="G121" s="36">
        <f t="shared" si="2"/>
        <v>13</v>
      </c>
    </row>
    <row r="122" spans="2:9" customFormat="1" ht="18" x14ac:dyDescent="0.35">
      <c r="B122" s="15" t="s">
        <v>1046</v>
      </c>
      <c r="C122" s="15" t="s">
        <v>1033</v>
      </c>
      <c r="D122" s="15" t="s">
        <v>1043</v>
      </c>
      <c r="E122" s="47">
        <v>43251</v>
      </c>
      <c r="F122" s="47">
        <v>43282</v>
      </c>
      <c r="G122" s="36">
        <f t="shared" si="2"/>
        <v>19</v>
      </c>
    </row>
    <row r="123" spans="2:9" ht="18" x14ac:dyDescent="0.35">
      <c r="B123" s="15" t="s">
        <v>1047</v>
      </c>
      <c r="C123" s="15" t="s">
        <v>1033</v>
      </c>
      <c r="D123" s="15" t="s">
        <v>1043</v>
      </c>
      <c r="E123" s="47">
        <v>43252</v>
      </c>
      <c r="F123" s="47">
        <v>43272</v>
      </c>
      <c r="G123" s="36">
        <f t="shared" si="2"/>
        <v>11</v>
      </c>
    </row>
    <row r="124" spans="2:9" ht="18" x14ac:dyDescent="0.35">
      <c r="B124" s="15" t="s">
        <v>1048</v>
      </c>
      <c r="C124" s="15" t="s">
        <v>1033</v>
      </c>
      <c r="D124" s="15" t="s">
        <v>1034</v>
      </c>
      <c r="E124" s="47">
        <v>43252</v>
      </c>
      <c r="F124" s="47">
        <v>43282</v>
      </c>
      <c r="G124" s="36">
        <f t="shared" si="2"/>
        <v>9</v>
      </c>
    </row>
    <row r="125" spans="2:9" ht="18" x14ac:dyDescent="0.35">
      <c r="B125" s="15" t="s">
        <v>1049</v>
      </c>
      <c r="C125" s="15" t="s">
        <v>1038</v>
      </c>
      <c r="D125" s="15" t="s">
        <v>1045</v>
      </c>
      <c r="E125" s="47">
        <v>43252</v>
      </c>
      <c r="F125" s="47">
        <v>43271</v>
      </c>
      <c r="G125" s="36">
        <f t="shared" si="2"/>
        <v>18</v>
      </c>
    </row>
    <row r="126" spans="2:9" ht="18" x14ac:dyDescent="0.35">
      <c r="B126" s="15" t="s">
        <v>1050</v>
      </c>
      <c r="C126" s="15" t="s">
        <v>1033</v>
      </c>
      <c r="D126" s="15" t="s">
        <v>1036</v>
      </c>
      <c r="E126" s="47">
        <v>43252</v>
      </c>
      <c r="F126" s="47">
        <v>43268</v>
      </c>
      <c r="G126" s="36">
        <f t="shared" si="2"/>
        <v>-30895</v>
      </c>
    </row>
    <row r="127" spans="2:9" ht="18" x14ac:dyDescent="0.35">
      <c r="B127" s="15" t="s">
        <v>1051</v>
      </c>
      <c r="C127" s="15" t="s">
        <v>1033</v>
      </c>
      <c r="D127" s="15" t="s">
        <v>1043</v>
      </c>
      <c r="E127" s="47">
        <v>43252</v>
      </c>
      <c r="F127" s="47">
        <v>43283</v>
      </c>
      <c r="G127" s="36">
        <f t="shared" si="2"/>
        <v>-30895</v>
      </c>
    </row>
    <row r="128" spans="2:9" ht="18" x14ac:dyDescent="0.35">
      <c r="B128"/>
      <c r="C128" s="3"/>
    </row>
    <row r="129" spans="2:4" ht="18" x14ac:dyDescent="0.35">
      <c r="B129"/>
      <c r="C129" s="3"/>
    </row>
    <row r="130" spans="2:4" ht="18" x14ac:dyDescent="0.35">
      <c r="B130"/>
      <c r="C130" s="3"/>
    </row>
    <row r="131" spans="2:4" ht="18" x14ac:dyDescent="0.35">
      <c r="B131"/>
      <c r="C131" s="3"/>
    </row>
    <row r="132" spans="2:4" ht="18" x14ac:dyDescent="0.35">
      <c r="B132"/>
      <c r="C132" s="29"/>
    </row>
    <row r="133" spans="2:4" ht="18" x14ac:dyDescent="0.35">
      <c r="B133"/>
      <c r="C133" s="3"/>
    </row>
    <row r="134" spans="2:4" ht="18" x14ac:dyDescent="0.35">
      <c r="B134"/>
      <c r="C134" s="29"/>
    </row>
    <row r="135" spans="2:4" ht="18" x14ac:dyDescent="0.35">
      <c r="B135"/>
    </row>
    <row r="136" spans="2:4" ht="18" x14ac:dyDescent="0.35">
      <c r="C136" s="30"/>
    </row>
    <row r="137" spans="2:4" ht="18" x14ac:dyDescent="0.35">
      <c r="C137" s="30"/>
    </row>
    <row r="138" spans="2:4" ht="18" x14ac:dyDescent="0.35">
      <c r="C138" s="30"/>
    </row>
    <row r="139" spans="2:4" ht="18" x14ac:dyDescent="0.35">
      <c r="C139" s="30"/>
    </row>
    <row r="140" spans="2:4" ht="18" x14ac:dyDescent="0.35">
      <c r="C140" s="30"/>
    </row>
    <row r="141" spans="2:4" ht="18" x14ac:dyDescent="0.35">
      <c r="C141" s="29"/>
      <c r="D141" s="2" t="s">
        <v>444</v>
      </c>
    </row>
    <row r="142" spans="2:4" ht="18" x14ac:dyDescent="0.35">
      <c r="C142" s="30"/>
    </row>
    <row r="149" spans="2:9" ht="18" x14ac:dyDescent="0.35">
      <c r="B149" s="4" t="s">
        <v>1025</v>
      </c>
    </row>
    <row r="150" spans="2:9" ht="18" x14ac:dyDescent="0.35">
      <c r="B150" s="2" t="s">
        <v>1026</v>
      </c>
    </row>
    <row r="152" spans="2:9" ht="18" x14ac:dyDescent="0.35">
      <c r="B152" s="21" t="s">
        <v>1027</v>
      </c>
      <c r="C152" s="21" t="s">
        <v>1028</v>
      </c>
      <c r="D152" s="21" t="s">
        <v>1029</v>
      </c>
      <c r="E152" s="21" t="s">
        <v>1030</v>
      </c>
      <c r="F152" s="21" t="s">
        <v>1031</v>
      </c>
      <c r="G152" s="54" t="s">
        <v>1058</v>
      </c>
      <c r="I152" s="21" t="s">
        <v>1059</v>
      </c>
    </row>
    <row r="153" spans="2:9" ht="18" x14ac:dyDescent="0.35">
      <c r="B153" s="15" t="s">
        <v>1032</v>
      </c>
      <c r="C153" s="15" t="s">
        <v>1033</v>
      </c>
      <c r="D153" s="15" t="s">
        <v>1034</v>
      </c>
      <c r="E153" s="47">
        <v>43251</v>
      </c>
      <c r="F153" s="47">
        <v>43270</v>
      </c>
      <c r="G153" s="36">
        <f>NETWORKDAYS.INTL(E153,F153,12,$I$153)</f>
        <v>17</v>
      </c>
      <c r="I153" s="47">
        <v>43269</v>
      </c>
    </row>
    <row r="154" spans="2:9" ht="18" x14ac:dyDescent="0.35">
      <c r="B154" s="15" t="s">
        <v>1035</v>
      </c>
      <c r="C154" s="15" t="s">
        <v>936</v>
      </c>
      <c r="D154" s="15" t="s">
        <v>1036</v>
      </c>
      <c r="E154" s="47">
        <v>43251</v>
      </c>
      <c r="F154" s="47">
        <v>43283</v>
      </c>
      <c r="G154" s="36">
        <f t="shared" ref="G153:G165" si="3">NETWORKDAYS.INTL(E154,F154,12,$I$153)</f>
        <v>28</v>
      </c>
    </row>
    <row r="155" spans="2:9" ht="18" x14ac:dyDescent="0.35">
      <c r="B155" s="15" t="s">
        <v>1037</v>
      </c>
      <c r="C155" s="15" t="s">
        <v>1038</v>
      </c>
      <c r="D155" s="15" t="s">
        <v>1034</v>
      </c>
      <c r="E155" s="47">
        <v>43251</v>
      </c>
      <c r="F155" s="47">
        <v>43282</v>
      </c>
      <c r="G155" s="36">
        <f t="shared" si="3"/>
        <v>28</v>
      </c>
    </row>
    <row r="156" spans="2:9" ht="18" x14ac:dyDescent="0.35">
      <c r="B156" s="15" t="s">
        <v>1039</v>
      </c>
      <c r="C156" s="15" t="s">
        <v>1040</v>
      </c>
      <c r="D156" s="15" t="s">
        <v>1036</v>
      </c>
      <c r="E156" s="47">
        <v>43251</v>
      </c>
      <c r="F156" s="47">
        <v>43258</v>
      </c>
      <c r="G156" s="36">
        <f t="shared" si="3"/>
        <v>7</v>
      </c>
    </row>
    <row r="157" spans="2:9" ht="18" x14ac:dyDescent="0.35">
      <c r="B157" s="15" t="s">
        <v>1041</v>
      </c>
      <c r="C157" s="15" t="s">
        <v>1038</v>
      </c>
      <c r="D157" s="15" t="s">
        <v>1036</v>
      </c>
      <c r="E157" s="47">
        <v>43251</v>
      </c>
      <c r="F157" s="47">
        <v>43277</v>
      </c>
      <c r="G157" s="36">
        <f t="shared" si="3"/>
        <v>23</v>
      </c>
    </row>
    <row r="158" spans="2:9" ht="18" x14ac:dyDescent="0.35">
      <c r="B158" s="15" t="s">
        <v>1042</v>
      </c>
      <c r="C158" s="15" t="s">
        <v>936</v>
      </c>
      <c r="D158" s="15" t="s">
        <v>1043</v>
      </c>
      <c r="E158" s="47">
        <v>43251</v>
      </c>
      <c r="F158" s="47">
        <v>43264</v>
      </c>
      <c r="G158" s="36">
        <f t="shared" si="3"/>
        <v>12</v>
      </c>
    </row>
    <row r="159" spans="2:9" ht="18" x14ac:dyDescent="0.35">
      <c r="B159" s="15" t="s">
        <v>1044</v>
      </c>
      <c r="C159" s="15" t="s">
        <v>1033</v>
      </c>
      <c r="D159" s="15" t="s">
        <v>1045</v>
      </c>
      <c r="E159" s="47">
        <v>43251</v>
      </c>
      <c r="F159" s="47">
        <v>43265</v>
      </c>
      <c r="G159" s="36">
        <f t="shared" si="3"/>
        <v>13</v>
      </c>
    </row>
    <row r="160" spans="2:9" ht="18" x14ac:dyDescent="0.35">
      <c r="B160" s="15" t="s">
        <v>1046</v>
      </c>
      <c r="C160" s="15" t="s">
        <v>1033</v>
      </c>
      <c r="D160" s="15" t="s">
        <v>1043</v>
      </c>
      <c r="E160" s="47">
        <v>43251</v>
      </c>
      <c r="F160" s="47">
        <v>43282</v>
      </c>
      <c r="G160" s="36">
        <f t="shared" si="3"/>
        <v>28</v>
      </c>
    </row>
    <row r="161" spans="2:7" ht="18" x14ac:dyDescent="0.35">
      <c r="B161" s="15" t="s">
        <v>1047</v>
      </c>
      <c r="C161" s="15" t="s">
        <v>1033</v>
      </c>
      <c r="D161" s="15" t="s">
        <v>1043</v>
      </c>
      <c r="E161" s="47">
        <v>43252</v>
      </c>
      <c r="F161" s="47">
        <v>43272</v>
      </c>
      <c r="G161" s="36">
        <f t="shared" si="3"/>
        <v>18</v>
      </c>
    </row>
    <row r="162" spans="2:7" ht="18" x14ac:dyDescent="0.35">
      <c r="B162" s="15" t="s">
        <v>1048</v>
      </c>
      <c r="C162" s="15" t="s">
        <v>1033</v>
      </c>
      <c r="D162" s="15" t="s">
        <v>1034</v>
      </c>
      <c r="E162" s="47">
        <v>43252</v>
      </c>
      <c r="F162" s="47">
        <v>43282</v>
      </c>
      <c r="G162" s="36">
        <f t="shared" si="3"/>
        <v>27</v>
      </c>
    </row>
    <row r="163" spans="2:7" ht="18" x14ac:dyDescent="0.35">
      <c r="B163" s="15" t="s">
        <v>1049</v>
      </c>
      <c r="C163" s="15" t="s">
        <v>1038</v>
      </c>
      <c r="D163" s="15" t="s">
        <v>1045</v>
      </c>
      <c r="E163" s="47">
        <v>43252</v>
      </c>
      <c r="F163" s="47">
        <v>43271</v>
      </c>
      <c r="G163" s="36">
        <f t="shared" si="3"/>
        <v>17</v>
      </c>
    </row>
    <row r="164" spans="2:7" ht="18" x14ac:dyDescent="0.35">
      <c r="B164" s="15" t="s">
        <v>1050</v>
      </c>
      <c r="C164" s="15" t="s">
        <v>1033</v>
      </c>
      <c r="D164" s="15" t="s">
        <v>1036</v>
      </c>
      <c r="E164" s="47">
        <v>43252</v>
      </c>
      <c r="F164" s="47">
        <v>43268</v>
      </c>
      <c r="G164" s="36">
        <f t="shared" si="3"/>
        <v>15</v>
      </c>
    </row>
    <row r="165" spans="2:7" ht="18" x14ac:dyDescent="0.35">
      <c r="B165" s="15" t="s">
        <v>1051</v>
      </c>
      <c r="C165" s="15" t="s">
        <v>1033</v>
      </c>
      <c r="D165" s="15" t="s">
        <v>1043</v>
      </c>
      <c r="E165" s="47">
        <v>43252</v>
      </c>
      <c r="F165" s="47">
        <v>43283</v>
      </c>
      <c r="G165" s="36">
        <f t="shared" si="3"/>
        <v>27</v>
      </c>
    </row>
    <row r="169" spans="2:7" ht="18" x14ac:dyDescent="0.35">
      <c r="B169" s="4" t="s">
        <v>1025</v>
      </c>
    </row>
    <row r="170" spans="2:7" ht="18" x14ac:dyDescent="0.35">
      <c r="B170" s="2" t="s">
        <v>1026</v>
      </c>
    </row>
    <row r="175" spans="2:7" ht="18" x14ac:dyDescent="0.35">
      <c r="B175" s="21" t="s">
        <v>1027</v>
      </c>
      <c r="C175" s="21" t="s">
        <v>1028</v>
      </c>
      <c r="D175" s="21" t="s">
        <v>1029</v>
      </c>
      <c r="E175" s="21" t="s">
        <v>1030</v>
      </c>
      <c r="F175" s="21" t="s">
        <v>1031</v>
      </c>
      <c r="G175" s="54" t="s">
        <v>1058</v>
      </c>
    </row>
    <row r="176" spans="2:7" ht="18" x14ac:dyDescent="0.35">
      <c r="B176" s="15" t="s">
        <v>1032</v>
      </c>
      <c r="C176" s="15" t="s">
        <v>1033</v>
      </c>
      <c r="D176" s="15" t="s">
        <v>1034</v>
      </c>
      <c r="E176" s="47">
        <v>43251</v>
      </c>
      <c r="F176" s="47">
        <v>43270</v>
      </c>
      <c r="G176" s="36">
        <f>NETWORKDAYS.INTL(E176,F176,11)</f>
        <v>17</v>
      </c>
    </row>
    <row r="177" spans="2:7" ht="18" x14ac:dyDescent="0.35">
      <c r="B177" s="15" t="s">
        <v>1035</v>
      </c>
      <c r="C177" s="15" t="s">
        <v>936</v>
      </c>
      <c r="D177" s="15" t="s">
        <v>1036</v>
      </c>
      <c r="E177" s="47">
        <v>43251</v>
      </c>
      <c r="F177" s="47">
        <v>43283</v>
      </c>
      <c r="G177" s="36">
        <f t="shared" ref="G177:G188" si="4">NETWORKDAYS.INTL(E177,F177,11)</f>
        <v>28</v>
      </c>
    </row>
    <row r="178" spans="2:7" ht="18" x14ac:dyDescent="0.35">
      <c r="B178" s="15" t="s">
        <v>1037</v>
      </c>
      <c r="C178" s="15" t="s">
        <v>1038</v>
      </c>
      <c r="D178" s="15" t="s">
        <v>1034</v>
      </c>
      <c r="E178" s="47">
        <v>43251</v>
      </c>
      <c r="F178" s="47">
        <v>43282</v>
      </c>
      <c r="G178" s="36">
        <f t="shared" si="4"/>
        <v>27</v>
      </c>
    </row>
    <row r="179" spans="2:7" ht="18" x14ac:dyDescent="0.35">
      <c r="B179" s="15" t="s">
        <v>1039</v>
      </c>
      <c r="C179" s="15" t="s">
        <v>1040</v>
      </c>
      <c r="D179" s="15" t="s">
        <v>1036</v>
      </c>
      <c r="E179" s="47">
        <v>43251</v>
      </c>
      <c r="F179" s="47">
        <v>43258</v>
      </c>
      <c r="G179" s="36">
        <f t="shared" si="4"/>
        <v>7</v>
      </c>
    </row>
    <row r="180" spans="2:7" ht="18" x14ac:dyDescent="0.35">
      <c r="B180" s="15" t="s">
        <v>1041</v>
      </c>
      <c r="C180" s="15" t="s">
        <v>1038</v>
      </c>
      <c r="D180" s="15" t="s">
        <v>1036</v>
      </c>
      <c r="E180" s="47">
        <v>43251</v>
      </c>
      <c r="F180" s="47">
        <v>43277</v>
      </c>
      <c r="G180" s="36">
        <f t="shared" si="4"/>
        <v>23</v>
      </c>
    </row>
    <row r="181" spans="2:7" ht="18" x14ac:dyDescent="0.35">
      <c r="B181" s="15" t="s">
        <v>1042</v>
      </c>
      <c r="C181" s="15" t="s">
        <v>936</v>
      </c>
      <c r="D181" s="15" t="s">
        <v>1043</v>
      </c>
      <c r="E181" s="47">
        <v>43251</v>
      </c>
      <c r="F181" s="47">
        <v>43264</v>
      </c>
      <c r="G181" s="36">
        <f t="shared" si="4"/>
        <v>12</v>
      </c>
    </row>
    <row r="182" spans="2:7" ht="18" x14ac:dyDescent="0.35">
      <c r="B182" s="15" t="s">
        <v>1044</v>
      </c>
      <c r="C182" s="15" t="s">
        <v>1033</v>
      </c>
      <c r="D182" s="15" t="s">
        <v>1045</v>
      </c>
      <c r="E182" s="47">
        <v>43251</v>
      </c>
      <c r="F182" s="47">
        <v>43265</v>
      </c>
      <c r="G182" s="36">
        <f t="shared" si="4"/>
        <v>13</v>
      </c>
    </row>
    <row r="183" spans="2:7" ht="18" x14ac:dyDescent="0.35">
      <c r="B183" s="15" t="s">
        <v>1046</v>
      </c>
      <c r="C183" s="15" t="s">
        <v>1033</v>
      </c>
      <c r="D183" s="15" t="s">
        <v>1043</v>
      </c>
      <c r="E183" s="47">
        <v>43251</v>
      </c>
      <c r="F183" s="47">
        <v>43282</v>
      </c>
      <c r="G183" s="36">
        <f t="shared" si="4"/>
        <v>27</v>
      </c>
    </row>
    <row r="184" spans="2:7" ht="18" x14ac:dyDescent="0.35">
      <c r="B184" s="15" t="s">
        <v>1047</v>
      </c>
      <c r="C184" s="15" t="s">
        <v>1033</v>
      </c>
      <c r="D184" s="15" t="s">
        <v>1043</v>
      </c>
      <c r="E184" s="47">
        <v>43252</v>
      </c>
      <c r="F184" s="47">
        <v>43272</v>
      </c>
      <c r="G184" s="36">
        <f t="shared" si="4"/>
        <v>18</v>
      </c>
    </row>
    <row r="185" spans="2:7" ht="18" x14ac:dyDescent="0.35">
      <c r="B185" s="15" t="s">
        <v>1048</v>
      </c>
      <c r="C185" s="15" t="s">
        <v>1033</v>
      </c>
      <c r="D185" s="15" t="s">
        <v>1034</v>
      </c>
      <c r="E185" s="47">
        <v>43252</v>
      </c>
      <c r="F185" s="47">
        <v>43282</v>
      </c>
      <c r="G185" s="36">
        <f t="shared" si="4"/>
        <v>26</v>
      </c>
    </row>
    <row r="186" spans="2:7" ht="18" x14ac:dyDescent="0.35">
      <c r="B186" s="15" t="s">
        <v>1049</v>
      </c>
      <c r="C186" s="15" t="s">
        <v>1038</v>
      </c>
      <c r="D186" s="15" t="s">
        <v>1045</v>
      </c>
      <c r="E186" s="47">
        <v>43252</v>
      </c>
      <c r="F186" s="47">
        <v>43271</v>
      </c>
      <c r="G186" s="36">
        <f t="shared" si="4"/>
        <v>17</v>
      </c>
    </row>
    <row r="187" spans="2:7" ht="18" x14ac:dyDescent="0.35">
      <c r="B187" s="15" t="s">
        <v>1050</v>
      </c>
      <c r="C187" s="15" t="s">
        <v>1033</v>
      </c>
      <c r="D187" s="15" t="s">
        <v>1036</v>
      </c>
      <c r="E187" s="47">
        <v>43252</v>
      </c>
      <c r="F187" s="47">
        <v>43268</v>
      </c>
      <c r="G187" s="36">
        <f t="shared" si="4"/>
        <v>14</v>
      </c>
    </row>
    <row r="188" spans="2:7" ht="18" x14ac:dyDescent="0.35">
      <c r="B188" s="15" t="s">
        <v>1051</v>
      </c>
      <c r="C188" s="15" t="s">
        <v>1033</v>
      </c>
      <c r="D188" s="15" t="s">
        <v>1043</v>
      </c>
      <c r="E188" s="47">
        <v>43252</v>
      </c>
      <c r="F188" s="47">
        <v>43283</v>
      </c>
      <c r="G188" s="36">
        <f t="shared" si="4"/>
        <v>27</v>
      </c>
    </row>
    <row r="189" spans="2:7" ht="18" x14ac:dyDescent="0.35">
      <c r="B189"/>
    </row>
    <row r="190" spans="2:7" ht="18" x14ac:dyDescent="0.35">
      <c r="B190"/>
    </row>
    <row r="191" spans="2:7" ht="18" x14ac:dyDescent="0.35">
      <c r="B191"/>
    </row>
    <row r="192" spans="2:7" ht="18" x14ac:dyDescent="0.35">
      <c r="B192"/>
    </row>
    <row r="193" spans="2:2" ht="18" x14ac:dyDescent="0.35">
      <c r="B193"/>
    </row>
    <row r="194" spans="2:2" ht="18" x14ac:dyDescent="0.35">
      <c r="B194"/>
    </row>
    <row r="195" spans="2:2" ht="18" x14ac:dyDescent="0.35">
      <c r="B195"/>
    </row>
    <row r="196" spans="2:2" ht="18" x14ac:dyDescent="0.35">
      <c r="B196"/>
    </row>
    <row r="197" spans="2:2" ht="18" x14ac:dyDescent="0.35">
      <c r="B197"/>
    </row>
    <row r="198" spans="2:2" ht="18" x14ac:dyDescent="0.35">
      <c r="B198"/>
    </row>
    <row r="199" spans="2:2" ht="18" x14ac:dyDescent="0.35">
      <c r="B199"/>
    </row>
    <row r="200" spans="2:2" ht="18" x14ac:dyDescent="0.35">
      <c r="B200"/>
    </row>
    <row r="201" spans="2:2" ht="18" x14ac:dyDescent="0.35">
      <c r="B201"/>
    </row>
    <row r="202" spans="2:2" ht="18" x14ac:dyDescent="0.35">
      <c r="B202"/>
    </row>
    <row r="203" spans="2:2" ht="18" x14ac:dyDescent="0.35">
      <c r="B203"/>
    </row>
    <row r="204" spans="2:2" ht="18" x14ac:dyDescent="0.35">
      <c r="B204"/>
    </row>
    <row r="205" spans="2:2" ht="18" x14ac:dyDescent="0.35">
      <c r="B205"/>
    </row>
    <row r="206" spans="2:2" ht="18" x14ac:dyDescent="0.35">
      <c r="B206"/>
    </row>
    <row r="207" spans="2:2" ht="18" x14ac:dyDescent="0.35">
      <c r="B207"/>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4987-E595-423C-9242-3E878A8EF273}">
  <dimension ref="B20:I62"/>
  <sheetViews>
    <sheetView showGridLines="0" zoomScaleNormal="100" workbookViewId="0">
      <pane ySplit="3" topLeftCell="A37" activePane="bottomLeft" state="frozen"/>
      <selection pane="bottomLeft" activeCell="I56" sqref="I56"/>
    </sheetView>
  </sheetViews>
  <sheetFormatPr baseColWidth="10" defaultColWidth="11.5" defaultRowHeight="14.25" x14ac:dyDescent="0.2"/>
  <cols>
    <col min="1" max="1" width="1.5" style="2" customWidth="1"/>
    <col min="2" max="2" width="18.5" style="2" customWidth="1"/>
    <col min="3" max="3" width="15.125" style="2" bestFit="1" customWidth="1"/>
    <col min="4" max="4" width="10.875" style="2" bestFit="1" customWidth="1"/>
    <col min="5" max="5" width="13.75" style="2" customWidth="1"/>
    <col min="6"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20" spans="2:6" ht="15" x14ac:dyDescent="0.25">
      <c r="B20" s="4" t="s">
        <v>20</v>
      </c>
    </row>
    <row r="21" spans="2:6" x14ac:dyDescent="0.2">
      <c r="B21" s="2" t="s">
        <v>21</v>
      </c>
    </row>
    <row r="23" spans="2:6" ht="15" x14ac:dyDescent="0.25">
      <c r="B23" s="14" t="s">
        <v>23</v>
      </c>
      <c r="C23" s="14" t="s">
        <v>22</v>
      </c>
      <c r="E23" s="21" t="s">
        <v>22</v>
      </c>
      <c r="F23" s="21" t="s">
        <v>23</v>
      </c>
    </row>
    <row r="24" spans="2:6" x14ac:dyDescent="0.2">
      <c r="B24" s="15">
        <v>376</v>
      </c>
      <c r="C24" s="15" t="s">
        <v>6</v>
      </c>
      <c r="E24" s="15" t="s">
        <v>6</v>
      </c>
      <c r="F24" s="17">
        <f>LOOKUP(E24,C24:C43,B24:B43)</f>
        <v>376</v>
      </c>
    </row>
    <row r="25" spans="2:6" x14ac:dyDescent="0.2">
      <c r="B25" s="15">
        <v>314</v>
      </c>
      <c r="C25" s="15" t="s">
        <v>8</v>
      </c>
    </row>
    <row r="26" spans="2:6" x14ac:dyDescent="0.2">
      <c r="B26" s="15">
        <v>595</v>
      </c>
      <c r="C26" s="15" t="s">
        <v>1</v>
      </c>
    </row>
    <row r="27" spans="2:6" x14ac:dyDescent="0.2">
      <c r="B27" s="15">
        <v>648</v>
      </c>
      <c r="C27" s="15" t="s">
        <v>0</v>
      </c>
    </row>
    <row r="28" spans="2:6" x14ac:dyDescent="0.2">
      <c r="B28" s="15">
        <v>249</v>
      </c>
      <c r="C28" s="15" t="s">
        <v>16</v>
      </c>
    </row>
    <row r="29" spans="2:6" x14ac:dyDescent="0.2">
      <c r="B29" s="15">
        <v>293</v>
      </c>
      <c r="C29" s="15" t="s">
        <v>11</v>
      </c>
    </row>
    <row r="30" spans="2:6" x14ac:dyDescent="0.2">
      <c r="B30" s="15">
        <v>292</v>
      </c>
      <c r="C30" s="15" t="s">
        <v>12</v>
      </c>
    </row>
    <row r="31" spans="2:6" x14ac:dyDescent="0.2">
      <c r="B31" s="15">
        <v>310</v>
      </c>
      <c r="C31" s="15" t="s">
        <v>9</v>
      </c>
    </row>
    <row r="32" spans="2:6" x14ac:dyDescent="0.2">
      <c r="B32" s="15">
        <v>362</v>
      </c>
      <c r="C32" s="15" t="s">
        <v>7</v>
      </c>
    </row>
    <row r="33" spans="2:3" x14ac:dyDescent="0.2">
      <c r="B33" s="15">
        <v>223</v>
      </c>
      <c r="C33" s="15" t="s">
        <v>17</v>
      </c>
    </row>
    <row r="34" spans="2:3" x14ac:dyDescent="0.2">
      <c r="B34" s="15">
        <v>397</v>
      </c>
      <c r="C34" s="15" t="s">
        <v>4</v>
      </c>
    </row>
    <row r="35" spans="2:3" x14ac:dyDescent="0.2">
      <c r="B35" s="15">
        <v>477</v>
      </c>
      <c r="C35" s="15" t="s">
        <v>2</v>
      </c>
    </row>
    <row r="36" spans="2:3" x14ac:dyDescent="0.2">
      <c r="B36" s="15">
        <v>212</v>
      </c>
      <c r="C36" s="15" t="s">
        <v>19</v>
      </c>
    </row>
    <row r="37" spans="2:3" x14ac:dyDescent="0.2">
      <c r="B37" s="15">
        <v>281</v>
      </c>
      <c r="C37" s="15" t="s">
        <v>13</v>
      </c>
    </row>
    <row r="38" spans="2:3" x14ac:dyDescent="0.2">
      <c r="B38" s="15">
        <v>223</v>
      </c>
      <c r="C38" s="15" t="s">
        <v>18</v>
      </c>
    </row>
    <row r="39" spans="2:3" x14ac:dyDescent="0.2">
      <c r="B39" s="15">
        <v>301</v>
      </c>
      <c r="C39" s="15" t="s">
        <v>10</v>
      </c>
    </row>
    <row r="40" spans="2:3" x14ac:dyDescent="0.2">
      <c r="B40" s="15">
        <v>425</v>
      </c>
      <c r="C40" s="15" t="s">
        <v>3</v>
      </c>
    </row>
    <row r="41" spans="2:3" x14ac:dyDescent="0.2">
      <c r="B41" s="15">
        <v>266</v>
      </c>
      <c r="C41" s="15" t="s">
        <v>14</v>
      </c>
    </row>
    <row r="42" spans="2:3" x14ac:dyDescent="0.2">
      <c r="B42" s="15">
        <v>386</v>
      </c>
      <c r="C42" s="15" t="s">
        <v>5</v>
      </c>
    </row>
    <row r="43" spans="2:3" x14ac:dyDescent="0.2">
      <c r="B43" s="15">
        <v>254</v>
      </c>
      <c r="C43" s="15" t="s">
        <v>15</v>
      </c>
    </row>
    <row r="48" spans="2:3" ht="15" x14ac:dyDescent="0.25">
      <c r="B48" s="4" t="s">
        <v>60</v>
      </c>
    </row>
    <row r="49" spans="2:9" x14ac:dyDescent="0.2">
      <c r="B49" s="2" t="s">
        <v>61</v>
      </c>
    </row>
    <row r="54" spans="2:9" ht="15" x14ac:dyDescent="0.2">
      <c r="B54" s="14" t="s">
        <v>62</v>
      </c>
      <c r="C54" s="14" t="s">
        <v>55</v>
      </c>
      <c r="D54" s="14" t="s">
        <v>56</v>
      </c>
      <c r="E54" s="14" t="s">
        <v>57</v>
      </c>
      <c r="F54" s="14" t="s">
        <v>58</v>
      </c>
      <c r="H54" s="14" t="s">
        <v>63</v>
      </c>
      <c r="I54" s="18">
        <v>2018</v>
      </c>
    </row>
    <row r="55" spans="2:9" ht="15" x14ac:dyDescent="0.2">
      <c r="B55" s="15">
        <v>2016</v>
      </c>
      <c r="C55" s="15">
        <v>14.8</v>
      </c>
      <c r="D55" s="15">
        <v>14.4</v>
      </c>
      <c r="E55" s="15">
        <v>24.5</v>
      </c>
      <c r="F55" s="15">
        <v>22.2</v>
      </c>
      <c r="H55" s="14" t="s">
        <v>64</v>
      </c>
      <c r="I55" s="18" t="s">
        <v>58</v>
      </c>
    </row>
    <row r="56" spans="2:9" ht="15" x14ac:dyDescent="0.2">
      <c r="B56" s="15">
        <v>2017</v>
      </c>
      <c r="C56" s="15">
        <v>25</v>
      </c>
      <c r="D56" s="15">
        <v>22</v>
      </c>
      <c r="E56" s="15">
        <v>26.2</v>
      </c>
      <c r="F56" s="15">
        <v>29.9</v>
      </c>
      <c r="H56" s="14" t="s">
        <v>65</v>
      </c>
      <c r="I56" s="17">
        <f>LOOKUP(I54,B55:B62,F55:F62)</f>
        <v>90.7</v>
      </c>
    </row>
    <row r="57" spans="2:9" x14ac:dyDescent="0.2">
      <c r="B57" s="15">
        <v>2018</v>
      </c>
      <c r="C57" s="15">
        <v>30</v>
      </c>
      <c r="D57" s="15">
        <v>40.700000000000003</v>
      </c>
      <c r="E57" s="15">
        <v>83.5</v>
      </c>
      <c r="F57" s="15">
        <v>90.7</v>
      </c>
    </row>
    <row r="58" spans="2:9" x14ac:dyDescent="0.2">
      <c r="B58" s="15">
        <v>2019</v>
      </c>
      <c r="C58" s="15">
        <v>63</v>
      </c>
      <c r="D58" s="15">
        <v>95.2</v>
      </c>
      <c r="E58" s="15">
        <v>97</v>
      </c>
      <c r="F58" s="15">
        <v>112</v>
      </c>
    </row>
    <row r="59" spans="2:9" x14ac:dyDescent="0.2">
      <c r="B59" s="15">
        <v>2020</v>
      </c>
      <c r="C59" s="15">
        <v>88.4</v>
      </c>
      <c r="D59" s="15">
        <v>90.7</v>
      </c>
      <c r="E59" s="15">
        <v>139.30000000000001</v>
      </c>
      <c r="F59" s="15">
        <v>180.6</v>
      </c>
    </row>
    <row r="60" spans="2:9" x14ac:dyDescent="0.2">
      <c r="B60" s="15">
        <v>2021</v>
      </c>
      <c r="C60" s="15">
        <v>184.8</v>
      </c>
      <c r="D60" s="15">
        <v>201.25</v>
      </c>
      <c r="E60" s="15">
        <v>241.3</v>
      </c>
      <c r="F60" s="15">
        <v>308.60000000000002</v>
      </c>
    </row>
    <row r="61" spans="2:9" x14ac:dyDescent="0.2">
      <c r="B61" s="15">
        <v>2022</v>
      </c>
      <c r="C61" s="15">
        <v>310.05</v>
      </c>
      <c r="D61" s="15">
        <v>254.7</v>
      </c>
      <c r="E61" s="15">
        <v>343.83</v>
      </c>
      <c r="F61" s="15">
        <v>405.28</v>
      </c>
    </row>
    <row r="62" spans="2:9" x14ac:dyDescent="0.2">
      <c r="B62" s="15">
        <v>2023</v>
      </c>
      <c r="C62" s="15">
        <v>422.88</v>
      </c>
      <c r="D62" s="15">
        <v>466.14</v>
      </c>
      <c r="E62" s="15">
        <v>435.06</v>
      </c>
      <c r="F62" s="15"/>
    </row>
  </sheetData>
  <dataValidations count="3">
    <dataValidation type="list" allowBlank="1" showInputMessage="1" showErrorMessage="1" sqref="E24" xr:uid="{992D9105-F362-447C-A658-36406F740AD5}">
      <formula1>$C$24:$C$43</formula1>
    </dataValidation>
    <dataValidation type="list" allowBlank="1" showInputMessage="1" showErrorMessage="1" sqref="I55" xr:uid="{27A27C73-FD91-4B4F-8AB7-DA337EE6EC04}">
      <formula1>$C$54:$F$54</formula1>
    </dataValidation>
    <dataValidation type="list" allowBlank="1" showInputMessage="1" showErrorMessage="1" sqref="I54" xr:uid="{F9369E55-C912-4899-B1FE-9268D1CBAEBE}">
      <formula1>$B$55:$B$62</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C640-E44D-4CC4-B657-CEF1D13DE4FB}">
  <dimension ref="B1:R186"/>
  <sheetViews>
    <sheetView showGridLines="0" zoomScale="90" zoomScaleNormal="70" workbookViewId="0">
      <pane ySplit="3" topLeftCell="A11" activePane="bottomLeft" state="frozen"/>
      <selection pane="bottomLeft" activeCell="J87" sqref="J87"/>
    </sheetView>
  </sheetViews>
  <sheetFormatPr baseColWidth="10" defaultColWidth="11.5" defaultRowHeight="14.25" outlineLevelRow="1" x14ac:dyDescent="0.2"/>
  <cols>
    <col min="1" max="1" width="1.5" style="2" customWidth="1"/>
    <col min="2" max="2" width="39.5" style="2" customWidth="1"/>
    <col min="3" max="3" width="38.25" style="2" bestFit="1" customWidth="1"/>
    <col min="4" max="4" width="51" style="2" bestFit="1" customWidth="1"/>
    <col min="5" max="5" width="22.125" style="2" bestFit="1" customWidth="1"/>
    <col min="6" max="6" width="13" style="2" bestFit="1" customWidth="1"/>
    <col min="7" max="7" width="12.125" style="2" bestFit="1" customWidth="1"/>
    <col min="8" max="8" width="19.5" style="2" bestFit="1" customWidth="1"/>
    <col min="9" max="9" width="38.25" style="2" bestFit="1" customWidth="1"/>
    <col min="10" max="10" width="42" style="2" bestFit="1" customWidth="1"/>
    <col min="11" max="11" width="13.5" style="2" bestFit="1" customWidth="1"/>
    <col min="12" max="12" width="9.5" style="2" bestFit="1" customWidth="1"/>
    <col min="13"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18" outlineLevel="1" x14ac:dyDescent="0.2"/>
    <row r="18" spans="2:18" outlineLevel="1" x14ac:dyDescent="0.2"/>
    <row r="19" spans="2:18" outlineLevel="1" x14ac:dyDescent="0.2"/>
    <row r="20" spans="2:18" ht="15" outlineLevel="1" x14ac:dyDescent="0.25">
      <c r="B20" s="4" t="s">
        <v>305</v>
      </c>
    </row>
    <row r="21" spans="2:18" outlineLevel="1" x14ac:dyDescent="0.2">
      <c r="B21" s="2" t="s">
        <v>325</v>
      </c>
    </row>
    <row r="22" spans="2:18" outlineLevel="1" x14ac:dyDescent="0.2"/>
    <row r="23" spans="2:18" ht="15" outlineLevel="1" x14ac:dyDescent="0.2">
      <c r="B23" s="14" t="s">
        <v>324</v>
      </c>
      <c r="C23" s="14" t="s">
        <v>306</v>
      </c>
      <c r="D23" s="14" t="s">
        <v>307</v>
      </c>
      <c r="E23" s="14" t="s">
        <v>328</v>
      </c>
      <c r="F23" s="14" t="s">
        <v>308</v>
      </c>
      <c r="G23" s="14" t="s">
        <v>309</v>
      </c>
      <c r="H23" s="14" t="s">
        <v>310</v>
      </c>
      <c r="I23" s="14" t="s">
        <v>311</v>
      </c>
      <c r="K23" s="14" t="s">
        <v>324</v>
      </c>
      <c r="L23" s="18" t="s">
        <v>319</v>
      </c>
      <c r="O23" s="14" t="s">
        <v>326</v>
      </c>
      <c r="P23" s="14" t="s">
        <v>329</v>
      </c>
      <c r="R23" s="2" t="s">
        <v>1127</v>
      </c>
    </row>
    <row r="24" spans="2:18" ht="15" outlineLevel="1" x14ac:dyDescent="0.2">
      <c r="B24" s="15" t="s">
        <v>312</v>
      </c>
      <c r="C24" s="15">
        <v>21.8</v>
      </c>
      <c r="D24" s="15">
        <v>16</v>
      </c>
      <c r="E24" s="15">
        <v>14.1</v>
      </c>
      <c r="F24" s="15">
        <v>10.8</v>
      </c>
      <c r="G24" s="15">
        <v>10.1</v>
      </c>
      <c r="H24" s="15" t="s">
        <v>59</v>
      </c>
      <c r="I24" s="15">
        <v>27.2</v>
      </c>
      <c r="K24" s="14" t="s">
        <v>326</v>
      </c>
      <c r="L24" s="18" t="s">
        <v>311</v>
      </c>
      <c r="M24" s="2">
        <f>VLOOKUP(L24,O23:P30,2,0)</f>
        <v>8</v>
      </c>
      <c r="O24" s="15" t="s">
        <v>306</v>
      </c>
      <c r="P24" s="15">
        <v>2</v>
      </c>
    </row>
    <row r="25" spans="2:18" ht="15" outlineLevel="1" x14ac:dyDescent="0.2">
      <c r="B25" s="15" t="s">
        <v>313</v>
      </c>
      <c r="C25" s="15">
        <v>18.899999999999999</v>
      </c>
      <c r="D25" s="15">
        <v>14.2</v>
      </c>
      <c r="E25" s="15">
        <v>16.899999999999999</v>
      </c>
      <c r="F25" s="15">
        <v>10.5</v>
      </c>
      <c r="G25" s="15">
        <v>10.1</v>
      </c>
      <c r="H25" s="15" t="s">
        <v>59</v>
      </c>
      <c r="I25" s="15">
        <v>29.5</v>
      </c>
      <c r="K25" s="14" t="s">
        <v>327</v>
      </c>
      <c r="L25" s="19">
        <f>VLOOKUP(L23,B23:I35,VLOOKUP(L24,O23:P30,2,0),0)</f>
        <v>29.4</v>
      </c>
      <c r="O25" s="15" t="s">
        <v>307</v>
      </c>
      <c r="P25" s="15">
        <v>3</v>
      </c>
    </row>
    <row r="26" spans="2:18" outlineLevel="1" x14ac:dyDescent="0.2">
      <c r="B26" s="15" t="s">
        <v>314</v>
      </c>
      <c r="C26" s="15">
        <v>20.8</v>
      </c>
      <c r="D26" s="15">
        <v>15.2</v>
      </c>
      <c r="E26" s="15">
        <v>13.4</v>
      </c>
      <c r="F26" s="15">
        <v>10</v>
      </c>
      <c r="G26" s="15">
        <v>10.1</v>
      </c>
      <c r="H26" s="15" t="s">
        <v>59</v>
      </c>
      <c r="I26" s="15">
        <v>30.5</v>
      </c>
      <c r="O26" s="15" t="s">
        <v>328</v>
      </c>
      <c r="P26" s="15">
        <v>4</v>
      </c>
    </row>
    <row r="27" spans="2:18" outlineLevel="1" x14ac:dyDescent="0.2">
      <c r="B27" s="15" t="s">
        <v>315</v>
      </c>
      <c r="C27" s="15">
        <v>19</v>
      </c>
      <c r="D27" s="15">
        <v>23.4</v>
      </c>
      <c r="E27" s="15">
        <v>12.4</v>
      </c>
      <c r="F27" s="15">
        <v>8.3000000000000007</v>
      </c>
      <c r="G27" s="15">
        <v>7.8</v>
      </c>
      <c r="H27" s="15" t="s">
        <v>59</v>
      </c>
      <c r="I27" s="15">
        <v>29</v>
      </c>
      <c r="O27" s="15" t="s">
        <v>308</v>
      </c>
      <c r="P27" s="15">
        <v>5</v>
      </c>
    </row>
    <row r="28" spans="2:18" outlineLevel="1" x14ac:dyDescent="0.2">
      <c r="B28" s="15" t="s">
        <v>316</v>
      </c>
      <c r="C28" s="15">
        <v>23.4</v>
      </c>
      <c r="D28" s="15">
        <v>18</v>
      </c>
      <c r="E28" s="15">
        <v>12.7</v>
      </c>
      <c r="F28" s="15">
        <v>8.6999999999999993</v>
      </c>
      <c r="G28" s="15">
        <v>8.1</v>
      </c>
      <c r="H28" s="15" t="s">
        <v>59</v>
      </c>
      <c r="I28" s="15">
        <v>29.1</v>
      </c>
      <c r="O28" s="15" t="s">
        <v>309</v>
      </c>
      <c r="P28" s="15">
        <v>6</v>
      </c>
    </row>
    <row r="29" spans="2:18" outlineLevel="1" x14ac:dyDescent="0.2">
      <c r="B29" s="15" t="s">
        <v>317</v>
      </c>
      <c r="C29" s="15">
        <v>21.8</v>
      </c>
      <c r="D29" s="15">
        <v>15.6</v>
      </c>
      <c r="E29" s="15">
        <v>13.8</v>
      </c>
      <c r="F29" s="15">
        <v>8.6</v>
      </c>
      <c r="G29" s="15">
        <v>8.6999999999999993</v>
      </c>
      <c r="H29" s="15" t="s">
        <v>59</v>
      </c>
      <c r="I29" s="15">
        <v>31.5</v>
      </c>
      <c r="O29" s="15" t="s">
        <v>310</v>
      </c>
      <c r="P29" s="15">
        <v>7</v>
      </c>
    </row>
    <row r="30" spans="2:18" outlineLevel="1" x14ac:dyDescent="0.2">
      <c r="B30" s="15" t="s">
        <v>318</v>
      </c>
      <c r="C30" s="15">
        <v>21.2</v>
      </c>
      <c r="D30" s="15">
        <v>17.2</v>
      </c>
      <c r="E30" s="15">
        <v>13.4</v>
      </c>
      <c r="F30" s="15">
        <v>8.6</v>
      </c>
      <c r="G30" s="15">
        <v>8.6</v>
      </c>
      <c r="H30" s="15" t="s">
        <v>59</v>
      </c>
      <c r="I30" s="15">
        <v>31</v>
      </c>
      <c r="O30" s="15" t="s">
        <v>311</v>
      </c>
      <c r="P30" s="15">
        <v>8</v>
      </c>
    </row>
    <row r="31" spans="2:18" outlineLevel="1" x14ac:dyDescent="0.2">
      <c r="B31" s="15" t="s">
        <v>319</v>
      </c>
      <c r="C31" s="15">
        <v>19.399999999999999</v>
      </c>
      <c r="D31" s="15">
        <v>24.1</v>
      </c>
      <c r="E31" s="15">
        <v>11</v>
      </c>
      <c r="F31" s="15">
        <v>8.4</v>
      </c>
      <c r="G31" s="15">
        <v>7.6</v>
      </c>
      <c r="H31" s="15" t="s">
        <v>59</v>
      </c>
      <c r="I31" s="15">
        <v>29.4</v>
      </c>
    </row>
    <row r="32" spans="2:18" outlineLevel="1" x14ac:dyDescent="0.2">
      <c r="B32" s="15" t="s">
        <v>320</v>
      </c>
      <c r="C32" s="15">
        <v>22.5</v>
      </c>
      <c r="D32" s="15">
        <v>20.5</v>
      </c>
      <c r="E32" s="15">
        <v>11.4</v>
      </c>
      <c r="F32" s="15">
        <v>10.199999999999999</v>
      </c>
      <c r="G32" s="15">
        <v>7.6</v>
      </c>
      <c r="H32" s="15" t="s">
        <v>59</v>
      </c>
      <c r="I32" s="15">
        <v>27.7</v>
      </c>
    </row>
    <row r="33" spans="2:10" outlineLevel="1" x14ac:dyDescent="0.2">
      <c r="B33" s="15" t="s">
        <v>321</v>
      </c>
      <c r="C33" s="15">
        <v>20.2</v>
      </c>
      <c r="D33" s="15">
        <v>16</v>
      </c>
      <c r="E33" s="15">
        <v>12.5</v>
      </c>
      <c r="F33" s="15">
        <v>9.6</v>
      </c>
      <c r="G33" s="15" t="s">
        <v>59</v>
      </c>
      <c r="H33" s="15">
        <v>9.5</v>
      </c>
      <c r="I33" s="15">
        <v>32.200000000000003</v>
      </c>
    </row>
    <row r="34" spans="2:10" outlineLevel="1" x14ac:dyDescent="0.2">
      <c r="B34" s="15" t="s">
        <v>322</v>
      </c>
      <c r="C34" s="15">
        <v>19.7</v>
      </c>
      <c r="D34" s="15">
        <v>17.7</v>
      </c>
      <c r="E34" s="15">
        <v>13.7</v>
      </c>
      <c r="F34" s="15">
        <v>8.9</v>
      </c>
      <c r="G34" s="15" t="s">
        <v>59</v>
      </c>
      <c r="H34" s="15">
        <v>8.6</v>
      </c>
      <c r="I34" s="15">
        <v>31.4</v>
      </c>
    </row>
    <row r="35" spans="2:10" outlineLevel="1" x14ac:dyDescent="0.2">
      <c r="B35" s="15" t="s">
        <v>323</v>
      </c>
      <c r="C35" s="15">
        <v>16.3</v>
      </c>
      <c r="D35" s="15">
        <v>24.7</v>
      </c>
      <c r="E35" s="15">
        <v>12.5</v>
      </c>
      <c r="F35" s="15" t="s">
        <v>59</v>
      </c>
      <c r="G35" s="15">
        <v>7.4</v>
      </c>
      <c r="H35" s="15">
        <v>8.6</v>
      </c>
      <c r="I35" s="15">
        <v>30.5</v>
      </c>
    </row>
    <row r="36" spans="2:10" outlineLevel="1" x14ac:dyDescent="0.2"/>
    <row r="37" spans="2:10" outlineLevel="1" x14ac:dyDescent="0.2"/>
    <row r="38" spans="2:10" outlineLevel="1" x14ac:dyDescent="0.2"/>
    <row r="39" spans="2:10" ht="15" outlineLevel="1" x14ac:dyDescent="0.25">
      <c r="B39" s="4" t="s">
        <v>371</v>
      </c>
    </row>
    <row r="40" spans="2:10" outlineLevel="1" x14ac:dyDescent="0.2">
      <c r="B40" s="2" t="s">
        <v>372</v>
      </c>
    </row>
    <row r="41" spans="2:10" outlineLevel="1" x14ac:dyDescent="0.2"/>
    <row r="42" spans="2:10" ht="15" outlineLevel="1" x14ac:dyDescent="0.2">
      <c r="B42" s="14" t="s">
        <v>330</v>
      </c>
      <c r="C42" s="14" t="s">
        <v>331</v>
      </c>
      <c r="D42" s="14" t="s">
        <v>332</v>
      </c>
      <c r="E42" s="14" t="s">
        <v>333</v>
      </c>
      <c r="F42" s="14" t="s">
        <v>334</v>
      </c>
      <c r="I42" s="14" t="s">
        <v>331</v>
      </c>
      <c r="J42" s="14" t="s">
        <v>334</v>
      </c>
    </row>
    <row r="43" spans="2:10" outlineLevel="1" x14ac:dyDescent="0.2">
      <c r="B43" s="15">
        <v>1</v>
      </c>
      <c r="C43" s="15" t="s">
        <v>335</v>
      </c>
      <c r="D43" s="15" t="s">
        <v>336</v>
      </c>
      <c r="E43" s="15">
        <v>2006</v>
      </c>
      <c r="F43" s="17" t="str">
        <f>VLOOKUP(C43,$I$42:$J$62,2,0)</f>
        <v>Sports</v>
      </c>
      <c r="I43" s="15" t="s">
        <v>335</v>
      </c>
      <c r="J43" s="15" t="s">
        <v>337</v>
      </c>
    </row>
    <row r="44" spans="2:10" outlineLevel="1" x14ac:dyDescent="0.2">
      <c r="B44" s="15">
        <v>2</v>
      </c>
      <c r="C44" s="15" t="s">
        <v>338</v>
      </c>
      <c r="D44" s="15" t="s">
        <v>339</v>
      </c>
      <c r="E44" s="15">
        <v>1985</v>
      </c>
      <c r="F44" s="17" t="str">
        <f t="shared" ref="F44:F62" si="0">VLOOKUP(C44,$I$42:$J$62,2,0)</f>
        <v>Platform</v>
      </c>
      <c r="I44" s="15" t="s">
        <v>338</v>
      </c>
      <c r="J44" s="15" t="s">
        <v>332</v>
      </c>
    </row>
    <row r="45" spans="2:10" outlineLevel="1" x14ac:dyDescent="0.2">
      <c r="B45" s="15">
        <v>3</v>
      </c>
      <c r="C45" s="15" t="s">
        <v>340</v>
      </c>
      <c r="D45" s="15" t="s">
        <v>336</v>
      </c>
      <c r="E45" s="15">
        <v>2008</v>
      </c>
      <c r="F45" s="17" t="str">
        <f t="shared" si="0"/>
        <v>Racing</v>
      </c>
      <c r="I45" s="15" t="s">
        <v>340</v>
      </c>
      <c r="J45" s="15" t="s">
        <v>341</v>
      </c>
    </row>
    <row r="46" spans="2:10" outlineLevel="1" x14ac:dyDescent="0.2">
      <c r="B46" s="15">
        <v>4</v>
      </c>
      <c r="C46" s="15" t="s">
        <v>342</v>
      </c>
      <c r="D46" s="15" t="s">
        <v>336</v>
      </c>
      <c r="E46" s="15">
        <v>2009</v>
      </c>
      <c r="F46" s="17" t="str">
        <f t="shared" si="0"/>
        <v>Sports</v>
      </c>
      <c r="I46" s="15" t="s">
        <v>342</v>
      </c>
      <c r="J46" s="15" t="s">
        <v>337</v>
      </c>
    </row>
    <row r="47" spans="2:10" outlineLevel="1" x14ac:dyDescent="0.2">
      <c r="B47" s="15">
        <v>5</v>
      </c>
      <c r="C47" s="15" t="s">
        <v>343</v>
      </c>
      <c r="D47" s="15" t="s">
        <v>344</v>
      </c>
      <c r="E47" s="15">
        <v>1996</v>
      </c>
      <c r="F47" s="17" t="str">
        <f t="shared" si="0"/>
        <v>Role-Playing</v>
      </c>
      <c r="I47" s="15" t="s">
        <v>343</v>
      </c>
      <c r="J47" s="15" t="s">
        <v>345</v>
      </c>
    </row>
    <row r="48" spans="2:10" outlineLevel="1" x14ac:dyDescent="0.2">
      <c r="B48" s="15">
        <v>6</v>
      </c>
      <c r="C48" s="15" t="s">
        <v>346</v>
      </c>
      <c r="D48" s="15" t="s">
        <v>344</v>
      </c>
      <c r="E48" s="15">
        <v>1989</v>
      </c>
      <c r="F48" s="17" t="str">
        <f t="shared" si="0"/>
        <v>Puzzle</v>
      </c>
      <c r="I48" s="15" t="s">
        <v>346</v>
      </c>
      <c r="J48" s="15" t="s">
        <v>347</v>
      </c>
    </row>
    <row r="49" spans="2:10" outlineLevel="1" x14ac:dyDescent="0.2">
      <c r="B49" s="15">
        <v>7</v>
      </c>
      <c r="C49" s="15" t="s">
        <v>348</v>
      </c>
      <c r="D49" s="15" t="s">
        <v>349</v>
      </c>
      <c r="E49" s="15">
        <v>2006</v>
      </c>
      <c r="F49" s="17" t="str">
        <f t="shared" si="0"/>
        <v>Platform</v>
      </c>
      <c r="I49" s="15" t="s">
        <v>348</v>
      </c>
      <c r="J49" s="15" t="s">
        <v>332</v>
      </c>
    </row>
    <row r="50" spans="2:10" outlineLevel="1" x14ac:dyDescent="0.2">
      <c r="B50" s="15">
        <v>8</v>
      </c>
      <c r="C50" s="15" t="s">
        <v>350</v>
      </c>
      <c r="D50" s="15" t="s">
        <v>336</v>
      </c>
      <c r="E50" s="15">
        <v>2006</v>
      </c>
      <c r="F50" s="17" t="str">
        <f t="shared" si="0"/>
        <v>Misc</v>
      </c>
      <c r="I50" s="15" t="s">
        <v>350</v>
      </c>
      <c r="J50" s="15" t="s">
        <v>351</v>
      </c>
    </row>
    <row r="51" spans="2:10" outlineLevel="1" x14ac:dyDescent="0.2">
      <c r="B51" s="15">
        <v>9</v>
      </c>
      <c r="C51" s="15" t="s">
        <v>352</v>
      </c>
      <c r="D51" s="15" t="s">
        <v>336</v>
      </c>
      <c r="E51" s="15">
        <v>2009</v>
      </c>
      <c r="F51" s="17" t="str">
        <f t="shared" si="0"/>
        <v>Platform</v>
      </c>
      <c r="I51" s="15" t="s">
        <v>352</v>
      </c>
      <c r="J51" s="15" t="s">
        <v>332</v>
      </c>
    </row>
    <row r="52" spans="2:10" outlineLevel="1" x14ac:dyDescent="0.2">
      <c r="B52" s="15">
        <v>10</v>
      </c>
      <c r="C52" s="15" t="s">
        <v>353</v>
      </c>
      <c r="D52" s="15" t="s">
        <v>339</v>
      </c>
      <c r="E52" s="15">
        <v>1984</v>
      </c>
      <c r="F52" s="17" t="str">
        <f t="shared" si="0"/>
        <v>Shooter</v>
      </c>
      <c r="I52" s="15" t="s">
        <v>353</v>
      </c>
      <c r="J52" s="15" t="s">
        <v>354</v>
      </c>
    </row>
    <row r="53" spans="2:10" outlineLevel="1" x14ac:dyDescent="0.2">
      <c r="B53" s="15">
        <v>11</v>
      </c>
      <c r="C53" s="15" t="s">
        <v>355</v>
      </c>
      <c r="D53" s="15" t="s">
        <v>349</v>
      </c>
      <c r="E53" s="15">
        <v>2005</v>
      </c>
      <c r="F53" s="17" t="str">
        <f t="shared" si="0"/>
        <v>Simulation</v>
      </c>
      <c r="I53" s="15" t="s">
        <v>355</v>
      </c>
      <c r="J53" s="15" t="s">
        <v>356</v>
      </c>
    </row>
    <row r="54" spans="2:10" outlineLevel="1" x14ac:dyDescent="0.2">
      <c r="B54" s="15">
        <v>12</v>
      </c>
      <c r="C54" s="15" t="s">
        <v>357</v>
      </c>
      <c r="D54" s="15" t="s">
        <v>349</v>
      </c>
      <c r="E54" s="15">
        <v>2005</v>
      </c>
      <c r="F54" s="17" t="str">
        <f t="shared" si="0"/>
        <v>Racing</v>
      </c>
      <c r="I54" s="15" t="s">
        <v>357</v>
      </c>
      <c r="J54" s="15" t="s">
        <v>341</v>
      </c>
    </row>
    <row r="55" spans="2:10" outlineLevel="1" x14ac:dyDescent="0.2">
      <c r="B55" s="15">
        <v>13</v>
      </c>
      <c r="C55" s="15" t="s">
        <v>358</v>
      </c>
      <c r="D55" s="15" t="s">
        <v>344</v>
      </c>
      <c r="E55" s="15">
        <v>1999</v>
      </c>
      <c r="F55" s="17" t="str">
        <f t="shared" si="0"/>
        <v>Role-Playing</v>
      </c>
      <c r="I55" s="15" t="s">
        <v>358</v>
      </c>
      <c r="J55" s="15" t="s">
        <v>345</v>
      </c>
    </row>
    <row r="56" spans="2:10" outlineLevel="1" x14ac:dyDescent="0.2">
      <c r="B56" s="15">
        <v>14</v>
      </c>
      <c r="C56" s="15" t="s">
        <v>359</v>
      </c>
      <c r="D56" s="15" t="s">
        <v>336</v>
      </c>
      <c r="E56" s="15">
        <v>2007</v>
      </c>
      <c r="F56" s="17" t="str">
        <f>VLOOKUP(C56,$I$42:$J$62,2,0)</f>
        <v>Sports</v>
      </c>
      <c r="I56" s="15" t="s">
        <v>359</v>
      </c>
      <c r="J56" s="15" t="s">
        <v>337</v>
      </c>
    </row>
    <row r="57" spans="2:10" outlineLevel="1" x14ac:dyDescent="0.2">
      <c r="B57" s="15">
        <v>15</v>
      </c>
      <c r="C57" s="15" t="s">
        <v>360</v>
      </c>
      <c r="D57" s="15" t="s">
        <v>336</v>
      </c>
      <c r="E57" s="15">
        <v>2009</v>
      </c>
      <c r="F57" s="17" t="str">
        <f t="shared" si="0"/>
        <v>Sports</v>
      </c>
      <c r="I57" s="15" t="s">
        <v>360</v>
      </c>
      <c r="J57" s="15" t="s">
        <v>337</v>
      </c>
    </row>
    <row r="58" spans="2:10" outlineLevel="1" x14ac:dyDescent="0.2">
      <c r="B58" s="15">
        <v>16</v>
      </c>
      <c r="C58" s="15" t="s">
        <v>361</v>
      </c>
      <c r="D58" s="15" t="s">
        <v>362</v>
      </c>
      <c r="E58" s="15">
        <v>2010</v>
      </c>
      <c r="F58" s="17" t="str">
        <f t="shared" si="0"/>
        <v>Misc</v>
      </c>
      <c r="I58" s="15" t="s">
        <v>361</v>
      </c>
      <c r="J58" s="15" t="s">
        <v>351</v>
      </c>
    </row>
    <row r="59" spans="2:10" outlineLevel="1" x14ac:dyDescent="0.2">
      <c r="B59" s="15">
        <v>17</v>
      </c>
      <c r="C59" s="15" t="s">
        <v>363</v>
      </c>
      <c r="D59" s="15" t="s">
        <v>364</v>
      </c>
      <c r="E59" s="15">
        <v>2013</v>
      </c>
      <c r="F59" s="17" t="str">
        <f t="shared" si="0"/>
        <v>Action</v>
      </c>
      <c r="I59" s="15" t="s">
        <v>363</v>
      </c>
      <c r="J59" s="15" t="s">
        <v>365</v>
      </c>
    </row>
    <row r="60" spans="2:10" outlineLevel="1" x14ac:dyDescent="0.2">
      <c r="B60" s="15">
        <v>18</v>
      </c>
      <c r="C60" s="15" t="s">
        <v>366</v>
      </c>
      <c r="D60" s="15" t="s">
        <v>367</v>
      </c>
      <c r="E60" s="15">
        <v>2004</v>
      </c>
      <c r="F60" s="17" t="str">
        <f t="shared" si="0"/>
        <v>Action</v>
      </c>
      <c r="I60" s="15" t="s">
        <v>366</v>
      </c>
      <c r="J60" s="15" t="s">
        <v>365</v>
      </c>
    </row>
    <row r="61" spans="2:10" outlineLevel="1" x14ac:dyDescent="0.2">
      <c r="B61" s="15">
        <v>19</v>
      </c>
      <c r="C61" s="15" t="s">
        <v>368</v>
      </c>
      <c r="D61" s="15" t="s">
        <v>369</v>
      </c>
      <c r="E61" s="15">
        <v>1990</v>
      </c>
      <c r="F61" s="17" t="str">
        <f t="shared" si="0"/>
        <v>Platform</v>
      </c>
      <c r="I61" s="15" t="s">
        <v>368</v>
      </c>
      <c r="J61" s="15" t="s">
        <v>332</v>
      </c>
    </row>
    <row r="62" spans="2:10" outlineLevel="1" x14ac:dyDescent="0.2">
      <c r="B62" s="15">
        <v>20</v>
      </c>
      <c r="C62" s="15" t="s">
        <v>370</v>
      </c>
      <c r="D62" s="15" t="s">
        <v>349</v>
      </c>
      <c r="E62" s="15">
        <v>2005</v>
      </c>
      <c r="F62" s="17" t="str">
        <f t="shared" si="0"/>
        <v>Misc</v>
      </c>
      <c r="I62" s="15" t="s">
        <v>370</v>
      </c>
      <c r="J62" s="15" t="s">
        <v>351</v>
      </c>
    </row>
    <row r="63" spans="2:10" outlineLevel="1" x14ac:dyDescent="0.2"/>
    <row r="64" spans="2:10" outlineLevel="1" x14ac:dyDescent="0.2"/>
    <row r="65" spans="2:7" outlineLevel="1" x14ac:dyDescent="0.2"/>
    <row r="66" spans="2:7" ht="15" outlineLevel="1" x14ac:dyDescent="0.25">
      <c r="B66" s="4" t="s">
        <v>373</v>
      </c>
    </row>
    <row r="67" spans="2:7" outlineLevel="1" x14ac:dyDescent="0.2">
      <c r="B67" s="2" t="s">
        <v>374</v>
      </c>
    </row>
    <row r="68" spans="2:7" outlineLevel="1" x14ac:dyDescent="0.2"/>
    <row r="69" spans="2:7" ht="15" outlineLevel="1" x14ac:dyDescent="0.2">
      <c r="B69" s="14" t="s">
        <v>375</v>
      </c>
      <c r="C69" s="14" t="s">
        <v>376</v>
      </c>
      <c r="D69" s="14" t="s">
        <v>377</v>
      </c>
      <c r="F69" s="14" t="s">
        <v>378</v>
      </c>
      <c r="G69" s="18">
        <v>1999</v>
      </c>
    </row>
    <row r="70" spans="2:7" ht="15" outlineLevel="1" x14ac:dyDescent="0.2">
      <c r="B70" s="25">
        <v>0</v>
      </c>
      <c r="C70" s="25">
        <v>99</v>
      </c>
      <c r="D70" s="16">
        <v>0.03</v>
      </c>
      <c r="F70" s="14" t="s">
        <v>377</v>
      </c>
      <c r="G70" s="20">
        <f>VLOOKUP(G69,B69:D74,3,1)</f>
        <v>0.13</v>
      </c>
    </row>
    <row r="71" spans="2:7" outlineLevel="1" x14ac:dyDescent="0.2">
      <c r="B71" s="25">
        <v>100</v>
      </c>
      <c r="C71" s="25">
        <v>499</v>
      </c>
      <c r="D71" s="16">
        <v>7.0000000000000007E-2</v>
      </c>
    </row>
    <row r="72" spans="2:7" outlineLevel="1" x14ac:dyDescent="0.2">
      <c r="B72" s="25">
        <v>500</v>
      </c>
      <c r="C72" s="25">
        <v>999</v>
      </c>
      <c r="D72" s="16">
        <v>0.1</v>
      </c>
    </row>
    <row r="73" spans="2:7" outlineLevel="1" x14ac:dyDescent="0.2">
      <c r="B73" s="25">
        <v>1000</v>
      </c>
      <c r="C73" s="25">
        <v>1999</v>
      </c>
      <c r="D73" s="16">
        <v>0.13</v>
      </c>
    </row>
    <row r="74" spans="2:7" outlineLevel="1" x14ac:dyDescent="0.2">
      <c r="B74" s="25">
        <v>2000</v>
      </c>
      <c r="C74" s="25">
        <v>5000</v>
      </c>
      <c r="D74" s="16">
        <v>0.17</v>
      </c>
    </row>
    <row r="75" spans="2:7" outlineLevel="1" x14ac:dyDescent="0.2"/>
    <row r="76" spans="2:7" outlineLevel="1" x14ac:dyDescent="0.2"/>
    <row r="77" spans="2:7" outlineLevel="1" x14ac:dyDescent="0.2"/>
    <row r="78" spans="2:7" ht="15" outlineLevel="1" x14ac:dyDescent="0.25">
      <c r="B78" s="4" t="s">
        <v>371</v>
      </c>
    </row>
    <row r="79" spans="2:7" outlineLevel="1" x14ac:dyDescent="0.2">
      <c r="B79" s="2" t="s">
        <v>372</v>
      </c>
    </row>
    <row r="80" spans="2:7" outlineLevel="1" x14ac:dyDescent="0.2"/>
    <row r="81" spans="2:10" outlineLevel="1" x14ac:dyDescent="0.2"/>
    <row r="82" spans="2:10" outlineLevel="1" x14ac:dyDescent="0.2"/>
    <row r="83" spans="2:10" outlineLevel="1" x14ac:dyDescent="0.2"/>
    <row r="84" spans="2:10" ht="15" outlineLevel="1" x14ac:dyDescent="0.2">
      <c r="B84" s="14" t="s">
        <v>331</v>
      </c>
      <c r="C84" s="14" t="s">
        <v>379</v>
      </c>
      <c r="D84" s="14" t="s">
        <v>380</v>
      </c>
      <c r="E84" s="14" t="s">
        <v>381</v>
      </c>
      <c r="F84" s="14" t="s">
        <v>382</v>
      </c>
      <c r="G84" s="14" t="s">
        <v>383</v>
      </c>
      <c r="I84" s="14" t="s">
        <v>384</v>
      </c>
      <c r="J84" s="22" t="s">
        <v>338</v>
      </c>
    </row>
    <row r="85" spans="2:10" ht="15" outlineLevel="1" x14ac:dyDescent="0.2">
      <c r="B85" s="15" t="s">
        <v>335</v>
      </c>
      <c r="C85" s="15">
        <v>41.49</v>
      </c>
      <c r="D85" s="15">
        <v>29.02</v>
      </c>
      <c r="E85" s="15">
        <v>3.77</v>
      </c>
      <c r="F85" s="15">
        <v>8.4600000000000009</v>
      </c>
      <c r="G85" s="15">
        <v>82.74</v>
      </c>
      <c r="I85" s="14" t="s">
        <v>385</v>
      </c>
      <c r="J85" s="22" t="s">
        <v>379</v>
      </c>
    </row>
    <row r="86" spans="2:10" ht="15" outlineLevel="1" x14ac:dyDescent="0.2">
      <c r="B86" s="15" t="s">
        <v>338</v>
      </c>
      <c r="C86" s="15">
        <v>29.08</v>
      </c>
      <c r="D86" s="15">
        <v>3.58</v>
      </c>
      <c r="E86" s="15">
        <v>6.81</v>
      </c>
      <c r="F86" s="15">
        <v>0.77</v>
      </c>
      <c r="G86" s="15">
        <v>40.24</v>
      </c>
      <c r="I86" s="14" t="s">
        <v>65</v>
      </c>
      <c r="J86" s="121">
        <f>VLOOKUP(J84,B85:G104,2,0)</f>
        <v>29.08</v>
      </c>
    </row>
    <row r="87" spans="2:10" outlineLevel="1" x14ac:dyDescent="0.2">
      <c r="B87" s="15" t="s">
        <v>340</v>
      </c>
      <c r="C87" s="15">
        <v>15.85</v>
      </c>
      <c r="D87" s="15">
        <v>12.88</v>
      </c>
      <c r="E87" s="15">
        <v>3.79</v>
      </c>
      <c r="F87" s="15">
        <v>3.31</v>
      </c>
      <c r="G87" s="15">
        <v>35.82</v>
      </c>
    </row>
    <row r="88" spans="2:10" outlineLevel="1" x14ac:dyDescent="0.2">
      <c r="B88" s="15" t="s">
        <v>342</v>
      </c>
      <c r="C88" s="15">
        <v>15.75</v>
      </c>
      <c r="D88" s="15">
        <v>11.01</v>
      </c>
      <c r="E88" s="15">
        <v>3.28</v>
      </c>
      <c r="F88" s="15">
        <v>2.96</v>
      </c>
      <c r="G88" s="15">
        <v>33</v>
      </c>
    </row>
    <row r="89" spans="2:10" outlineLevel="1" x14ac:dyDescent="0.2">
      <c r="B89" s="15" t="s">
        <v>343</v>
      </c>
      <c r="C89" s="15">
        <v>11.27</v>
      </c>
      <c r="D89" s="15">
        <v>8.89</v>
      </c>
      <c r="E89" s="15">
        <v>10.220000000000001</v>
      </c>
      <c r="F89" s="15">
        <v>1</v>
      </c>
      <c r="G89" s="15">
        <v>31.37</v>
      </c>
    </row>
    <row r="90" spans="2:10" outlineLevel="1" x14ac:dyDescent="0.2">
      <c r="B90" s="15" t="s">
        <v>346</v>
      </c>
      <c r="C90" s="15">
        <v>23.2</v>
      </c>
      <c r="D90" s="15">
        <v>2.2599999999999998</v>
      </c>
      <c r="E90" s="15">
        <v>4.22</v>
      </c>
      <c r="F90" s="15">
        <v>0.57999999999999996</v>
      </c>
      <c r="G90" s="15">
        <v>30.26</v>
      </c>
    </row>
    <row r="91" spans="2:10" outlineLevel="1" x14ac:dyDescent="0.2">
      <c r="B91" s="15" t="s">
        <v>348</v>
      </c>
      <c r="C91" s="15">
        <v>11.38</v>
      </c>
      <c r="D91" s="15">
        <v>9.23</v>
      </c>
      <c r="E91" s="15">
        <v>6.5</v>
      </c>
      <c r="F91" s="15">
        <v>2.9</v>
      </c>
      <c r="G91" s="15">
        <v>30.01</v>
      </c>
    </row>
    <row r="92" spans="2:10" outlineLevel="1" x14ac:dyDescent="0.2">
      <c r="B92" s="15" t="s">
        <v>350</v>
      </c>
      <c r="C92" s="15">
        <v>14.03</v>
      </c>
      <c r="D92" s="15">
        <v>9.1999999999999993</v>
      </c>
      <c r="E92" s="15">
        <v>2.93</v>
      </c>
      <c r="F92" s="15">
        <v>2.85</v>
      </c>
      <c r="G92" s="15">
        <v>29.02</v>
      </c>
    </row>
    <row r="93" spans="2:10" outlineLevel="1" x14ac:dyDescent="0.2">
      <c r="B93" s="15" t="s">
        <v>352</v>
      </c>
      <c r="C93" s="15">
        <v>14.59</v>
      </c>
      <c r="D93" s="15">
        <v>7.06</v>
      </c>
      <c r="E93" s="15">
        <v>4.7</v>
      </c>
      <c r="F93" s="15">
        <v>2.2599999999999998</v>
      </c>
      <c r="G93" s="15">
        <v>28.62</v>
      </c>
    </row>
    <row r="94" spans="2:10" outlineLevel="1" x14ac:dyDescent="0.2">
      <c r="B94" s="15" t="s">
        <v>353</v>
      </c>
      <c r="C94" s="15">
        <v>26.93</v>
      </c>
      <c r="D94" s="15">
        <v>0.63</v>
      </c>
      <c r="E94" s="15">
        <v>0.28000000000000003</v>
      </c>
      <c r="F94" s="15">
        <v>0.47</v>
      </c>
      <c r="G94" s="15">
        <v>28.31</v>
      </c>
    </row>
    <row r="95" spans="2:10" outlineLevel="1" x14ac:dyDescent="0.2">
      <c r="B95" s="15" t="s">
        <v>355</v>
      </c>
      <c r="C95" s="15">
        <v>9.07</v>
      </c>
      <c r="D95" s="15">
        <v>11</v>
      </c>
      <c r="E95" s="15">
        <v>1.93</v>
      </c>
      <c r="F95" s="15">
        <v>2.75</v>
      </c>
      <c r="G95" s="15">
        <v>24.76</v>
      </c>
    </row>
    <row r="96" spans="2:10" outlineLevel="1" x14ac:dyDescent="0.2">
      <c r="B96" s="15" t="s">
        <v>357</v>
      </c>
      <c r="C96" s="15">
        <v>9.81</v>
      </c>
      <c r="D96" s="15">
        <v>7.57</v>
      </c>
      <c r="E96" s="15">
        <v>4.13</v>
      </c>
      <c r="F96" s="15">
        <v>1.92</v>
      </c>
      <c r="G96" s="15">
        <v>23.42</v>
      </c>
    </row>
    <row r="97" spans="2:7" outlineLevel="1" x14ac:dyDescent="0.2">
      <c r="B97" s="15" t="s">
        <v>358</v>
      </c>
      <c r="C97" s="15">
        <v>9</v>
      </c>
      <c r="D97" s="15">
        <v>6.18</v>
      </c>
      <c r="E97" s="15">
        <v>7.2</v>
      </c>
      <c r="F97" s="15">
        <v>0.71</v>
      </c>
      <c r="G97" s="15">
        <v>23.1</v>
      </c>
    </row>
    <row r="98" spans="2:7" outlineLevel="1" x14ac:dyDescent="0.2">
      <c r="B98" s="15" t="s">
        <v>359</v>
      </c>
      <c r="C98" s="15">
        <v>8.94</v>
      </c>
      <c r="D98" s="15">
        <v>8.0299999999999994</v>
      </c>
      <c r="E98" s="15">
        <v>3.6</v>
      </c>
      <c r="F98" s="15">
        <v>2.15</v>
      </c>
      <c r="G98" s="15">
        <v>22.72</v>
      </c>
    </row>
    <row r="99" spans="2:7" outlineLevel="1" x14ac:dyDescent="0.2">
      <c r="B99" s="15" t="s">
        <v>360</v>
      </c>
      <c r="C99" s="15">
        <v>9.09</v>
      </c>
      <c r="D99" s="15">
        <v>8.59</v>
      </c>
      <c r="E99" s="15">
        <v>2.5299999999999998</v>
      </c>
      <c r="F99" s="15">
        <v>1.79</v>
      </c>
      <c r="G99" s="15">
        <v>22</v>
      </c>
    </row>
    <row r="100" spans="2:7" outlineLevel="1" x14ac:dyDescent="0.2">
      <c r="B100" s="15" t="s">
        <v>361</v>
      </c>
      <c r="C100" s="15">
        <v>14.97</v>
      </c>
      <c r="D100" s="15">
        <v>4.9400000000000004</v>
      </c>
      <c r="E100" s="15">
        <v>0.24</v>
      </c>
      <c r="F100" s="15">
        <v>1.67</v>
      </c>
      <c r="G100" s="15">
        <v>21.82</v>
      </c>
    </row>
    <row r="101" spans="2:7" outlineLevel="1" x14ac:dyDescent="0.2">
      <c r="B101" s="15" t="s">
        <v>363</v>
      </c>
      <c r="C101" s="15">
        <v>7.01</v>
      </c>
      <c r="D101" s="15">
        <v>9.27</v>
      </c>
      <c r="E101" s="15">
        <v>0.97</v>
      </c>
      <c r="F101" s="15">
        <v>4.1399999999999997</v>
      </c>
      <c r="G101" s="15">
        <v>21.4</v>
      </c>
    </row>
    <row r="102" spans="2:7" outlineLevel="1" x14ac:dyDescent="0.2">
      <c r="B102" s="15" t="s">
        <v>366</v>
      </c>
      <c r="C102" s="15">
        <v>9.43</v>
      </c>
      <c r="D102" s="15">
        <v>0.4</v>
      </c>
      <c r="E102" s="15">
        <v>0.41</v>
      </c>
      <c r="F102" s="15">
        <v>10.57</v>
      </c>
      <c r="G102" s="15">
        <v>20.81</v>
      </c>
    </row>
    <row r="103" spans="2:7" outlineLevel="1" x14ac:dyDescent="0.2">
      <c r="B103" s="15" t="s">
        <v>368</v>
      </c>
      <c r="C103" s="15">
        <v>12.78</v>
      </c>
      <c r="D103" s="15">
        <v>3.75</v>
      </c>
      <c r="E103" s="15">
        <v>3.54</v>
      </c>
      <c r="F103" s="15">
        <v>0.55000000000000004</v>
      </c>
      <c r="G103" s="15">
        <v>20.61</v>
      </c>
    </row>
    <row r="104" spans="2:7" outlineLevel="1" x14ac:dyDescent="0.2">
      <c r="B104" s="15" t="s">
        <v>370</v>
      </c>
      <c r="C104" s="15">
        <v>4.75</v>
      </c>
      <c r="D104" s="15">
        <v>9.26</v>
      </c>
      <c r="E104" s="15">
        <v>4.16</v>
      </c>
      <c r="F104" s="15">
        <v>2.0499999999999998</v>
      </c>
      <c r="G104" s="15">
        <v>20.22</v>
      </c>
    </row>
    <row r="105" spans="2:7" outlineLevel="1" x14ac:dyDescent="0.2"/>
    <row r="132" spans="2:11" ht="15" x14ac:dyDescent="0.25">
      <c r="B132" s="4" t="s">
        <v>396</v>
      </c>
    </row>
    <row r="133" spans="2:11" x14ac:dyDescent="0.2">
      <c r="B133" s="2" t="s">
        <v>397</v>
      </c>
    </row>
    <row r="135" spans="2:11" ht="15" x14ac:dyDescent="0.2">
      <c r="B135" s="14" t="s">
        <v>386</v>
      </c>
      <c r="C135" s="14" t="s">
        <v>387</v>
      </c>
      <c r="D135" s="14" t="s">
        <v>388</v>
      </c>
      <c r="E135" s="14" t="s">
        <v>389</v>
      </c>
      <c r="F135" s="14" t="s">
        <v>390</v>
      </c>
      <c r="G135" s="14" t="s">
        <v>391</v>
      </c>
      <c r="H135" s="14" t="s">
        <v>392</v>
      </c>
      <c r="I135" s="14" t="s">
        <v>393</v>
      </c>
      <c r="J135" s="14" t="s">
        <v>394</v>
      </c>
      <c r="K135" s="14" t="s">
        <v>395</v>
      </c>
    </row>
    <row r="136" spans="2:11" x14ac:dyDescent="0.2">
      <c r="B136" s="24">
        <v>2746.21</v>
      </c>
      <c r="C136" s="24">
        <v>2309.84</v>
      </c>
      <c r="D136" s="24">
        <v>2055.2199999999998</v>
      </c>
      <c r="E136" s="24">
        <v>1340.53</v>
      </c>
      <c r="F136" s="24">
        <v>1084.06</v>
      </c>
      <c r="G136" s="24">
        <v>708.4</v>
      </c>
      <c r="H136" s="24">
        <v>599.82000000000005</v>
      </c>
      <c r="I136" s="24">
        <v>539</v>
      </c>
      <c r="J136" s="24">
        <v>482.45</v>
      </c>
      <c r="K136" s="24">
        <v>477.38</v>
      </c>
    </row>
    <row r="137" spans="2:11" x14ac:dyDescent="0.2">
      <c r="B137" s="3"/>
    </row>
    <row r="138" spans="2:11" ht="15" x14ac:dyDescent="0.2">
      <c r="B138" s="14" t="s">
        <v>398</v>
      </c>
      <c r="C138" s="7" t="s">
        <v>386</v>
      </c>
    </row>
    <row r="139" spans="2:11" ht="15" x14ac:dyDescent="0.2">
      <c r="B139" s="14" t="s">
        <v>399</v>
      </c>
      <c r="C139" s="23">
        <f>HLOOKUP(C138,B135:K136,2,0)</f>
        <v>2746.21</v>
      </c>
    </row>
    <row r="143" spans="2:11" ht="15" x14ac:dyDescent="0.25">
      <c r="B143" s="4" t="s">
        <v>419</v>
      </c>
    </row>
    <row r="144" spans="2:11" x14ac:dyDescent="0.2">
      <c r="B144" s="2" t="s">
        <v>420</v>
      </c>
    </row>
    <row r="146" spans="2:12" ht="15" x14ac:dyDescent="0.2">
      <c r="B146" s="14" t="s">
        <v>418</v>
      </c>
      <c r="C146" s="14" t="s">
        <v>400</v>
      </c>
      <c r="D146" s="14" t="s">
        <v>401</v>
      </c>
      <c r="E146" s="14" t="s">
        <v>402</v>
      </c>
      <c r="F146" s="14" t="s">
        <v>403</v>
      </c>
      <c r="G146" s="14" t="s">
        <v>404</v>
      </c>
      <c r="H146" s="14" t="s">
        <v>405</v>
      </c>
      <c r="I146" s="14" t="s">
        <v>406</v>
      </c>
      <c r="J146" s="14" t="s">
        <v>407</v>
      </c>
      <c r="K146" s="14" t="s">
        <v>408</v>
      </c>
      <c r="L146" s="14" t="s">
        <v>409</v>
      </c>
    </row>
    <row r="147" spans="2:12" x14ac:dyDescent="0.2">
      <c r="B147" s="2" t="s">
        <v>410</v>
      </c>
      <c r="C147" s="26">
        <v>3691213</v>
      </c>
      <c r="D147" s="26">
        <v>1180636</v>
      </c>
      <c r="E147" s="26">
        <v>379982</v>
      </c>
      <c r="F147" s="26">
        <v>1932788</v>
      </c>
      <c r="G147" s="26">
        <v>1662299</v>
      </c>
      <c r="H147" s="26">
        <v>316729</v>
      </c>
      <c r="I147" s="26">
        <v>521182</v>
      </c>
      <c r="J147" s="26">
        <v>1160253</v>
      </c>
      <c r="K147" s="26">
        <v>3943792</v>
      </c>
      <c r="L147" s="26">
        <v>2559088</v>
      </c>
    </row>
    <row r="148" spans="2:12" x14ac:dyDescent="0.2">
      <c r="B148" s="2" t="s">
        <v>411</v>
      </c>
      <c r="C148" s="27">
        <f>HLOOKUP(C146,$B$157:$L$159,2,0)</f>
        <v>47014</v>
      </c>
      <c r="D148" s="27">
        <f t="shared" ref="D148:L148" si="1">HLOOKUP(D146,$B$157:$L$159,2,0)</f>
        <v>5554</v>
      </c>
      <c r="E148" s="27">
        <f t="shared" si="1"/>
        <v>850</v>
      </c>
      <c r="F148" s="27">
        <f t="shared" si="1"/>
        <v>4663</v>
      </c>
      <c r="G148" s="27">
        <f t="shared" si="1"/>
        <v>0</v>
      </c>
      <c r="H148" s="27">
        <f t="shared" si="1"/>
        <v>1935</v>
      </c>
      <c r="I148" s="27">
        <f t="shared" si="1"/>
        <v>861</v>
      </c>
      <c r="J148" s="27">
        <f t="shared" si="1"/>
        <v>7918</v>
      </c>
      <c r="K148" s="27">
        <f t="shared" si="1"/>
        <v>6382</v>
      </c>
      <c r="L148" s="27">
        <f t="shared" si="1"/>
        <v>7972</v>
      </c>
    </row>
    <row r="149" spans="2:12" x14ac:dyDescent="0.2">
      <c r="B149" s="2" t="s">
        <v>412</v>
      </c>
      <c r="C149" s="26">
        <v>213714</v>
      </c>
      <c r="D149" s="26">
        <v>37279</v>
      </c>
      <c r="E149" s="26">
        <v>15810</v>
      </c>
      <c r="F149" s="26">
        <v>46661</v>
      </c>
      <c r="G149" s="26">
        <v>16844</v>
      </c>
      <c r="H149" s="26">
        <v>9337</v>
      </c>
      <c r="I149" s="26">
        <v>11570</v>
      </c>
      <c r="J149" s="26">
        <v>16124</v>
      </c>
      <c r="K149" s="26">
        <v>40334</v>
      </c>
      <c r="L149" s="26">
        <v>20163</v>
      </c>
    </row>
    <row r="150" spans="2:12" x14ac:dyDescent="0.2">
      <c r="B150" s="2" t="s">
        <v>413</v>
      </c>
      <c r="C150" s="26">
        <v>32.97</v>
      </c>
      <c r="D150" s="26">
        <v>6.93</v>
      </c>
      <c r="E150" s="26">
        <v>3.28</v>
      </c>
      <c r="F150" s="26">
        <v>9.75</v>
      </c>
      <c r="G150" s="26">
        <v>3.71</v>
      </c>
      <c r="H150" s="26">
        <v>2.0699999999999998</v>
      </c>
      <c r="I150" s="26">
        <v>2.62</v>
      </c>
      <c r="J150" s="26">
        <v>4.05</v>
      </c>
      <c r="K150" s="26">
        <v>10.7</v>
      </c>
      <c r="L150" s="26">
        <v>5.46</v>
      </c>
    </row>
    <row r="151" spans="2:12" x14ac:dyDescent="0.2">
      <c r="B151" s="2" t="s">
        <v>414</v>
      </c>
      <c r="C151" s="27">
        <f>HLOOKUP(C146,$B$157:$L$159,3,0)</f>
        <v>121</v>
      </c>
      <c r="D151" s="27">
        <f t="shared" ref="D151:L151" si="2">HLOOKUP(D146,$B$157:$L$159,3,0)</f>
        <v>18</v>
      </c>
      <c r="E151" s="27">
        <f t="shared" si="2"/>
        <v>2</v>
      </c>
      <c r="F151" s="27">
        <f t="shared" si="2"/>
        <v>14</v>
      </c>
      <c r="G151" s="27">
        <f t="shared" si="2"/>
        <v>0</v>
      </c>
      <c r="H151" s="27">
        <f t="shared" si="2"/>
        <v>10</v>
      </c>
      <c r="I151" s="27">
        <f t="shared" si="2"/>
        <v>3</v>
      </c>
      <c r="J151" s="27">
        <f t="shared" si="2"/>
        <v>35</v>
      </c>
      <c r="K151" s="27">
        <f t="shared" si="2"/>
        <v>10</v>
      </c>
      <c r="L151" s="27">
        <f t="shared" si="2"/>
        <v>16</v>
      </c>
    </row>
    <row r="152" spans="2:12" x14ac:dyDescent="0.2">
      <c r="B152" s="2" t="s">
        <v>415</v>
      </c>
      <c r="C152" s="26">
        <v>3.67</v>
      </c>
      <c r="D152" s="26">
        <v>2.6</v>
      </c>
      <c r="E152" s="26">
        <v>0.61</v>
      </c>
      <c r="F152" s="26">
        <v>1.44</v>
      </c>
      <c r="G152" s="26">
        <v>0</v>
      </c>
      <c r="H152" s="26">
        <v>4.83</v>
      </c>
      <c r="I152" s="26">
        <v>1.1399999999999999</v>
      </c>
      <c r="J152" s="26">
        <v>8.65</v>
      </c>
      <c r="K152" s="26">
        <v>0.93</v>
      </c>
      <c r="L152" s="26">
        <v>2.93</v>
      </c>
    </row>
    <row r="153" spans="2:12" x14ac:dyDescent="0.2">
      <c r="B153" s="2" t="s">
        <v>416</v>
      </c>
      <c r="C153" s="26">
        <v>19</v>
      </c>
      <c r="D153" s="26">
        <v>2</v>
      </c>
      <c r="E153" s="26">
        <v>0</v>
      </c>
      <c r="F153" s="26">
        <v>0</v>
      </c>
      <c r="G153" s="26">
        <v>0</v>
      </c>
      <c r="H153" s="26">
        <v>2</v>
      </c>
      <c r="I153" s="26">
        <v>0</v>
      </c>
      <c r="J153" s="26">
        <v>6</v>
      </c>
      <c r="K153" s="26">
        <v>0</v>
      </c>
      <c r="L153" s="26">
        <v>3</v>
      </c>
    </row>
    <row r="154" spans="2:12" x14ac:dyDescent="0.2">
      <c r="B154" s="2" t="s">
        <v>417</v>
      </c>
      <c r="C154" s="26">
        <v>6481.71</v>
      </c>
      <c r="D154" s="26">
        <v>5376.25</v>
      </c>
      <c r="E154" s="26">
        <v>4818.92</v>
      </c>
      <c r="F154" s="26">
        <v>4785.8599999999997</v>
      </c>
      <c r="G154" s="26">
        <v>4535.2700000000004</v>
      </c>
      <c r="H154" s="26">
        <v>4505.12</v>
      </c>
      <c r="I154" s="26">
        <v>4415.2</v>
      </c>
      <c r="J154" s="26">
        <v>3983.99</v>
      </c>
      <c r="K154" s="26">
        <v>3769.92</v>
      </c>
      <c r="L154" s="26">
        <v>3693.65</v>
      </c>
    </row>
    <row r="157" spans="2:12" ht="15" x14ac:dyDescent="0.2">
      <c r="B157" s="14" t="s">
        <v>418</v>
      </c>
      <c r="C157" s="14" t="s">
        <v>400</v>
      </c>
      <c r="D157" s="14" t="s">
        <v>401</v>
      </c>
      <c r="E157" s="14" t="s">
        <v>402</v>
      </c>
      <c r="F157" s="14" t="s">
        <v>403</v>
      </c>
      <c r="G157" s="14" t="s">
        <v>404</v>
      </c>
      <c r="H157" s="14" t="s">
        <v>405</v>
      </c>
      <c r="I157" s="14" t="s">
        <v>406</v>
      </c>
      <c r="J157" s="14" t="s">
        <v>407</v>
      </c>
      <c r="K157" s="14" t="s">
        <v>408</v>
      </c>
      <c r="L157" s="14" t="s">
        <v>409</v>
      </c>
    </row>
    <row r="158" spans="2:12" x14ac:dyDescent="0.2">
      <c r="B158" s="2" t="s">
        <v>411</v>
      </c>
      <c r="C158" s="26">
        <v>47014</v>
      </c>
      <c r="D158" s="26">
        <v>5554</v>
      </c>
      <c r="E158" s="26">
        <v>850</v>
      </c>
      <c r="F158" s="26">
        <v>4663</v>
      </c>
      <c r="G158" s="26">
        <v>0</v>
      </c>
      <c r="H158" s="26">
        <v>1935</v>
      </c>
      <c r="I158" s="26">
        <v>861</v>
      </c>
      <c r="J158" s="26">
        <v>7918</v>
      </c>
      <c r="K158" s="26">
        <v>6382</v>
      </c>
      <c r="L158" s="26">
        <v>7972</v>
      </c>
    </row>
    <row r="159" spans="2:12" x14ac:dyDescent="0.2">
      <c r="B159" s="2" t="s">
        <v>414</v>
      </c>
      <c r="C159" s="26">
        <v>121</v>
      </c>
      <c r="D159" s="26">
        <v>18</v>
      </c>
      <c r="E159" s="26">
        <v>2</v>
      </c>
      <c r="F159" s="26">
        <v>14</v>
      </c>
      <c r="G159" s="26">
        <v>0</v>
      </c>
      <c r="H159" s="26">
        <v>10</v>
      </c>
      <c r="I159" s="26">
        <v>3</v>
      </c>
      <c r="J159" s="26">
        <v>35</v>
      </c>
      <c r="K159" s="26">
        <v>10</v>
      </c>
      <c r="L159" s="26">
        <v>16</v>
      </c>
    </row>
    <row r="164" spans="2:7" ht="15" x14ac:dyDescent="0.25">
      <c r="B164" s="4" t="s">
        <v>419</v>
      </c>
    </row>
    <row r="165" spans="2:7" x14ac:dyDescent="0.2">
      <c r="B165" s="2" t="s">
        <v>420</v>
      </c>
    </row>
    <row r="170" spans="2:7" ht="15" x14ac:dyDescent="0.2">
      <c r="B170" s="14" t="s">
        <v>421</v>
      </c>
      <c r="C170" s="14">
        <v>1</v>
      </c>
      <c r="D170" s="14">
        <v>10</v>
      </c>
      <c r="E170" s="14">
        <v>50</v>
      </c>
      <c r="F170" s="14">
        <v>100</v>
      </c>
      <c r="G170" s="14">
        <v>500</v>
      </c>
    </row>
    <row r="171" spans="2:7" x14ac:dyDescent="0.2">
      <c r="B171" s="15" t="s">
        <v>336</v>
      </c>
      <c r="C171" s="16">
        <v>0</v>
      </c>
      <c r="D171" s="16">
        <v>0.03</v>
      </c>
      <c r="E171" s="16">
        <v>0.06</v>
      </c>
      <c r="F171" s="16">
        <v>0.1</v>
      </c>
      <c r="G171" s="16">
        <v>0.15</v>
      </c>
    </row>
    <row r="172" spans="2:7" x14ac:dyDescent="0.2">
      <c r="B172"/>
    </row>
    <row r="173" spans="2:7" ht="15" x14ac:dyDescent="0.2">
      <c r="B173" s="14" t="s">
        <v>378</v>
      </c>
      <c r="C173" s="18">
        <v>10</v>
      </c>
    </row>
    <row r="174" spans="2:7" ht="15" x14ac:dyDescent="0.2">
      <c r="B174" s="14" t="s">
        <v>377</v>
      </c>
      <c r="C174" s="20">
        <f>HLOOKUP(C173,B170:G171,2,1)</f>
        <v>0.03</v>
      </c>
    </row>
    <row r="175" spans="2:7" x14ac:dyDescent="0.2">
      <c r="B175"/>
    </row>
    <row r="176" spans="2:7" x14ac:dyDescent="0.2">
      <c r="B176"/>
    </row>
    <row r="177" spans="2:4" x14ac:dyDescent="0.2">
      <c r="B177"/>
      <c r="C177" s="3"/>
    </row>
    <row r="178" spans="2:4" x14ac:dyDescent="0.2">
      <c r="B178"/>
      <c r="C178" s="29"/>
    </row>
    <row r="179" spans="2:4" x14ac:dyDescent="0.2">
      <c r="B179"/>
      <c r="C179" s="3"/>
    </row>
    <row r="180" spans="2:4" x14ac:dyDescent="0.2">
      <c r="B180"/>
      <c r="C180" s="29"/>
    </row>
    <row r="181" spans="2:4" x14ac:dyDescent="0.2">
      <c r="B181"/>
      <c r="C181" s="29"/>
    </row>
    <row r="182" spans="2:4" x14ac:dyDescent="0.2">
      <c r="B182"/>
    </row>
    <row r="183" spans="2:4" x14ac:dyDescent="0.2">
      <c r="B183"/>
    </row>
    <row r="184" spans="2:4" x14ac:dyDescent="0.2">
      <c r="C184" s="30"/>
    </row>
    <row r="185" spans="2:4" x14ac:dyDescent="0.2">
      <c r="C185" s="29"/>
      <c r="D185" s="2" t="s">
        <v>444</v>
      </c>
    </row>
    <row r="186" spans="2:4" x14ac:dyDescent="0.2">
      <c r="C186" s="30"/>
    </row>
  </sheetData>
  <dataValidations count="6">
    <dataValidation type="list" allowBlank="1" showInputMessage="1" showErrorMessage="1" sqref="J84" xr:uid="{D96A2A00-868B-4533-932A-A6C989C5217A}">
      <formula1>$B$85:$B$104</formula1>
    </dataValidation>
    <dataValidation type="list" allowBlank="1" showInputMessage="1" showErrorMessage="1" sqref="J85" xr:uid="{3E63F452-386B-42DD-A6B7-F8F389F1DFED}">
      <formula1>$C$84:$G$84</formula1>
    </dataValidation>
    <dataValidation type="list" allowBlank="1" showInputMessage="1" showErrorMessage="1" sqref="E24" xr:uid="{C1D15370-7C3A-44CC-9704-177831A43034}">
      <formula1>$B$24:$B$59</formula1>
    </dataValidation>
    <dataValidation type="list" allowBlank="1" showInputMessage="1" showErrorMessage="1" sqref="L23" xr:uid="{759105B0-DCE1-4EAB-95C5-19E56324F5B1}">
      <formula1>$B$24:$B$35</formula1>
    </dataValidation>
    <dataValidation type="list" allowBlank="1" showInputMessage="1" showErrorMessage="1" sqref="L24" xr:uid="{61CB1AB8-E89A-4A78-87B9-607F66A477BD}">
      <formula1>$C$23:$I$23</formula1>
    </dataValidation>
    <dataValidation type="list" allowBlank="1" showInputMessage="1" showErrorMessage="1" sqref="C138" xr:uid="{55268484-FD20-4717-B5E6-499D57D0BA33}">
      <formula1>$B$135:$K$135</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EACC-42BF-4E67-A97F-2EFDD6D5EF00}">
  <dimension ref="B1:M126"/>
  <sheetViews>
    <sheetView showGridLines="0" zoomScale="115" zoomScaleNormal="115" workbookViewId="0">
      <pane ySplit="3" topLeftCell="A4" activePane="bottomLeft" state="frozen"/>
      <selection pane="bottomLeft" activeCell="M114" sqref="M114"/>
    </sheetView>
  </sheetViews>
  <sheetFormatPr baseColWidth="10" defaultColWidth="11.5" defaultRowHeight="14.25" outlineLevelRow="1" x14ac:dyDescent="0.35"/>
  <cols>
    <col min="1" max="1" width="1.5" style="2" customWidth="1"/>
    <col min="2" max="2" width="20.75" style="2" customWidth="1"/>
    <col min="3" max="3" width="17.25" style="2" bestFit="1" customWidth="1"/>
    <col min="4" max="4" width="12.875" style="2" bestFit="1" customWidth="1"/>
    <col min="5" max="5" width="18.5" style="2" bestFit="1" customWidth="1"/>
    <col min="6" max="6" width="16.75" style="2" bestFit="1" customWidth="1"/>
    <col min="7" max="7" width="14.75" style="2" bestFit="1" customWidth="1"/>
    <col min="8" max="8" width="21.125" style="2" bestFit="1" customWidth="1"/>
    <col min="9" max="9" width="15.5" style="2" bestFit="1" customWidth="1"/>
    <col min="10" max="10" width="10.5" style="2" bestFit="1" customWidth="1"/>
    <col min="11" max="11" width="14.25" style="2" bestFit="1" customWidth="1"/>
    <col min="12" max="12" width="8.5" style="2" bestFit="1" customWidth="1"/>
    <col min="13" max="13" width="23.75" style="2" bestFit="1" customWidth="1"/>
    <col min="14" max="16384" width="11.5" style="2"/>
  </cols>
  <sheetData>
    <row r="1" ht="18" hidden="1" outlineLevel="1" x14ac:dyDescent="0.35"/>
    <row r="2" ht="18" hidden="1" outlineLevel="1" x14ac:dyDescent="0.35"/>
    <row r="3" ht="18" hidden="1" outlineLevel="1" x14ac:dyDescent="0.35"/>
    <row r="4" ht="18" hidden="1" outlineLevel="1" x14ac:dyDescent="0.35"/>
    <row r="5" ht="14.25" hidden="1" customHeight="1" outlineLevel="1" x14ac:dyDescent="0.35"/>
    <row r="6" ht="14.25" hidden="1" customHeight="1" outlineLevel="1" x14ac:dyDescent="0.35"/>
    <row r="7" ht="14.25" hidden="1" customHeight="1" outlineLevel="1" x14ac:dyDescent="0.35"/>
    <row r="8" ht="14.25" hidden="1" customHeight="1" outlineLevel="1" x14ac:dyDescent="0.35"/>
    <row r="9" ht="14.25" hidden="1" customHeight="1" outlineLevel="1" x14ac:dyDescent="0.35"/>
    <row r="10" ht="14.25" hidden="1" customHeight="1" outlineLevel="1" x14ac:dyDescent="0.35"/>
    <row r="11" ht="14.25" hidden="1" customHeight="1" outlineLevel="1" x14ac:dyDescent="0.35"/>
    <row r="12" ht="14.25" hidden="1" customHeight="1" outlineLevel="1" x14ac:dyDescent="0.35"/>
    <row r="13" ht="14.25" hidden="1" customHeight="1" outlineLevel="1" x14ac:dyDescent="0.35"/>
    <row r="14" ht="14.25" hidden="1" customHeight="1" outlineLevel="1" x14ac:dyDescent="0.35"/>
    <row r="15" ht="14.25" hidden="1" customHeight="1" outlineLevel="1" x14ac:dyDescent="0.35"/>
    <row r="16" ht="14.25" hidden="1" customHeight="1" outlineLevel="1" x14ac:dyDescent="0.35"/>
    <row r="17" spans="2:11" ht="14.25" hidden="1" customHeight="1" outlineLevel="1" x14ac:dyDescent="0.35"/>
    <row r="18" spans="2:11" ht="14.25" hidden="1" customHeight="1" outlineLevel="1" x14ac:dyDescent="0.35"/>
    <row r="19" spans="2:11" ht="14.25" hidden="1" customHeight="1" outlineLevel="1" x14ac:dyDescent="0.35"/>
    <row r="20" spans="2:11" ht="14.25" hidden="1" customHeight="1" outlineLevel="1" x14ac:dyDescent="0.35">
      <c r="B20" s="117" t="s">
        <v>1092</v>
      </c>
      <c r="C20" s="117"/>
      <c r="D20" s="117"/>
      <c r="E20" s="117"/>
      <c r="F20" s="117"/>
      <c r="G20" s="117"/>
      <c r="H20" s="117"/>
    </row>
    <row r="21" spans="2:11" ht="14.25" hidden="1" customHeight="1" outlineLevel="1" x14ac:dyDescent="0.35">
      <c r="B21" s="118" t="s">
        <v>1093</v>
      </c>
      <c r="C21" s="118"/>
      <c r="D21" s="118"/>
      <c r="E21" s="118"/>
      <c r="F21" s="118"/>
      <c r="G21" s="118"/>
      <c r="H21" s="118"/>
    </row>
    <row r="22" spans="2:11" ht="15" hidden="1" customHeight="1" outlineLevel="1" thickBot="1" x14ac:dyDescent="0.4">
      <c r="B22" s="116"/>
      <c r="C22" s="116"/>
      <c r="D22" s="116"/>
      <c r="E22" s="116"/>
      <c r="F22" s="116"/>
      <c r="G22" s="116"/>
      <c r="H22" s="116"/>
    </row>
    <row r="23" spans="2:11" ht="15.75" hidden="1" customHeight="1" outlineLevel="1" thickBot="1" x14ac:dyDescent="0.4">
      <c r="B23" s="73" t="s">
        <v>1094</v>
      </c>
      <c r="C23" s="75" t="s">
        <v>1095</v>
      </c>
      <c r="D23" s="75" t="s">
        <v>1096</v>
      </c>
      <c r="E23" s="75" t="s">
        <v>1097</v>
      </c>
      <c r="F23" s="75" t="s">
        <v>1098</v>
      </c>
      <c r="G23" s="75" t="s">
        <v>1099</v>
      </c>
      <c r="H23" s="75" t="s">
        <v>1100</v>
      </c>
      <c r="J23" s="76" t="s">
        <v>63</v>
      </c>
      <c r="K23" s="65">
        <v>2020</v>
      </c>
    </row>
    <row r="24" spans="2:11" ht="15.75" hidden="1" customHeight="1" outlineLevel="1" thickBot="1" x14ac:dyDescent="0.4">
      <c r="B24" s="74">
        <v>2016</v>
      </c>
      <c r="C24" s="66">
        <v>0.32100000000000001</v>
      </c>
      <c r="D24" s="67">
        <v>0.28499999999999998</v>
      </c>
      <c r="E24" s="67">
        <v>0.22600000000000001</v>
      </c>
      <c r="F24" s="66">
        <v>7.400000000000001E-2</v>
      </c>
      <c r="G24" s="67">
        <v>6.3E-2</v>
      </c>
      <c r="H24" s="67">
        <v>3.1E-2</v>
      </c>
      <c r="J24" s="76" t="s">
        <v>1101</v>
      </c>
      <c r="K24" s="68" t="s">
        <v>1096</v>
      </c>
    </row>
    <row r="25" spans="2:11" ht="15.75" hidden="1" customHeight="1" outlineLevel="1" thickBot="1" x14ac:dyDescent="0.4">
      <c r="B25" s="74">
        <v>2017</v>
      </c>
      <c r="C25" s="69">
        <v>0.312</v>
      </c>
      <c r="D25" s="70">
        <v>0.28300000000000003</v>
      </c>
      <c r="E25" s="70">
        <v>0.23600000000000002</v>
      </c>
      <c r="F25" s="69">
        <v>7.4999999999999997E-2</v>
      </c>
      <c r="G25" s="70">
        <v>6.7000000000000004E-2</v>
      </c>
      <c r="H25" s="70">
        <v>2.7000000000000003E-2</v>
      </c>
      <c r="J25" s="76" t="s">
        <v>1102</v>
      </c>
      <c r="K25" s="71">
        <v>6</v>
      </c>
    </row>
    <row r="26" spans="2:11" ht="15.75" hidden="1" customHeight="1" outlineLevel="1" thickBot="1" x14ac:dyDescent="0.4">
      <c r="B26" s="74">
        <v>2018</v>
      </c>
      <c r="C26" s="66">
        <v>0.29899999999999999</v>
      </c>
      <c r="D26" s="67">
        <v>0.26899999999999996</v>
      </c>
      <c r="E26" s="67">
        <v>0.27500000000000002</v>
      </c>
      <c r="F26" s="66">
        <v>6.6000000000000003E-2</v>
      </c>
      <c r="G26" s="67">
        <v>6.5000000000000002E-2</v>
      </c>
      <c r="H26" s="67">
        <v>2.6000000000000002E-2</v>
      </c>
      <c r="J26" s="76" t="s">
        <v>329</v>
      </c>
      <c r="K26" s="71">
        <v>3</v>
      </c>
    </row>
    <row r="27" spans="2:11" ht="15.75" hidden="1" customHeight="1" outlineLevel="1" thickBot="1" x14ac:dyDescent="0.4">
      <c r="B27" s="74">
        <v>2019</v>
      </c>
      <c r="C27" s="69">
        <v>0.27699999999999997</v>
      </c>
      <c r="D27" s="70">
        <v>0.253</v>
      </c>
      <c r="E27" s="70">
        <v>0.32299999999999995</v>
      </c>
      <c r="F27" s="69">
        <v>0.06</v>
      </c>
      <c r="G27" s="70">
        <v>6.4000000000000001E-2</v>
      </c>
      <c r="H27" s="70">
        <v>2.3E-2</v>
      </c>
      <c r="J27" s="76" t="s">
        <v>1103</v>
      </c>
      <c r="K27" s="72" cm="1">
        <f t="array" ref="K27">INDEX(B23:H28,K25,K26)</f>
        <v>0.247</v>
      </c>
    </row>
    <row r="28" spans="2:11" ht="15" hidden="1" customHeight="1" outlineLevel="1" thickBot="1" x14ac:dyDescent="0.4">
      <c r="B28" s="74">
        <v>2020</v>
      </c>
      <c r="C28" s="66">
        <v>0.26800000000000002</v>
      </c>
      <c r="D28" s="67">
        <v>0.247</v>
      </c>
      <c r="E28" s="67">
        <v>0.35</v>
      </c>
      <c r="F28" s="66">
        <v>5.2000000000000005E-2</v>
      </c>
      <c r="G28" s="67">
        <v>0.06</v>
      </c>
      <c r="H28" s="67">
        <v>2.2000000000000002E-2</v>
      </c>
    </row>
    <row r="29" spans="2:11" ht="14.25" hidden="1" customHeight="1" outlineLevel="1" x14ac:dyDescent="0.35"/>
    <row r="30" spans="2:11" ht="14.25" hidden="1" customHeight="1" outlineLevel="1" x14ac:dyDescent="0.35"/>
    <row r="31" spans="2:11" ht="18" collapsed="1" x14ac:dyDescent="0.35"/>
    <row r="37" ht="18" x14ac:dyDescent="0.35"/>
    <row r="38" ht="14.25" customHeight="1" outlineLevel="1" x14ac:dyDescent="0.35"/>
    <row r="39" ht="14.25" customHeight="1" outlineLevel="1" x14ac:dyDescent="0.35"/>
    <row r="40" ht="14.25" customHeight="1" outlineLevel="1" x14ac:dyDescent="0.35"/>
    <row r="41" ht="14.25" customHeight="1" outlineLevel="1" x14ac:dyDescent="0.35"/>
    <row r="42" ht="14.25" customHeight="1" outlineLevel="1" x14ac:dyDescent="0.35"/>
    <row r="43" ht="14.25" customHeight="1" outlineLevel="1" x14ac:dyDescent="0.35"/>
    <row r="44" ht="14.25" customHeight="1" outlineLevel="1" x14ac:dyDescent="0.35"/>
    <row r="45" ht="14.25" customHeight="1" outlineLevel="1" x14ac:dyDescent="0.35"/>
    <row r="46" ht="14.25" customHeight="1" outlineLevel="1" x14ac:dyDescent="0.35"/>
    <row r="47" ht="14.25" customHeight="1" outlineLevel="1" x14ac:dyDescent="0.35"/>
    <row r="48" ht="14.25" customHeight="1" outlineLevel="1" x14ac:dyDescent="0.35"/>
    <row r="49" spans="2:11" ht="14.25" customHeight="1" outlineLevel="1" x14ac:dyDescent="0.35"/>
    <row r="50" spans="2:11" ht="14.25" customHeight="1" outlineLevel="1" x14ac:dyDescent="0.35"/>
    <row r="51" spans="2:11" ht="14.25" customHeight="1" outlineLevel="1" x14ac:dyDescent="0.35"/>
    <row r="52" spans="2:11" ht="14.25" customHeight="1" outlineLevel="1" x14ac:dyDescent="0.35"/>
    <row r="53" spans="2:11" ht="14.25" customHeight="1" outlineLevel="1" x14ac:dyDescent="0.35"/>
    <row r="54" spans="2:11" ht="14.25" customHeight="1" outlineLevel="1" x14ac:dyDescent="0.35"/>
    <row r="55" spans="2:11" ht="14.25" customHeight="1" outlineLevel="1" x14ac:dyDescent="0.35"/>
    <row r="56" spans="2:11" ht="14.25" customHeight="1" outlineLevel="1" x14ac:dyDescent="0.35"/>
    <row r="57" spans="2:11" ht="15" customHeight="1" outlineLevel="1" x14ac:dyDescent="0.35">
      <c r="B57" s="4" t="s">
        <v>371</v>
      </c>
    </row>
    <row r="58" spans="2:11" ht="14.25" customHeight="1" outlineLevel="1" x14ac:dyDescent="0.35">
      <c r="B58" s="2" t="s">
        <v>372</v>
      </c>
    </row>
    <row r="59" spans="2:11" ht="15" customHeight="1" outlineLevel="1" thickBot="1" x14ac:dyDescent="0.4"/>
    <row r="60" spans="2:11" ht="15.75" customHeight="1" outlineLevel="1" thickBot="1" x14ac:dyDescent="0.4">
      <c r="B60" s="73" t="s">
        <v>1094</v>
      </c>
      <c r="C60" s="75" t="s">
        <v>1095</v>
      </c>
      <c r="D60" s="75" t="s">
        <v>1096</v>
      </c>
      <c r="E60" s="75" t="s">
        <v>1097</v>
      </c>
      <c r="F60" s="75" t="s">
        <v>1098</v>
      </c>
      <c r="G60" s="75" t="s">
        <v>1099</v>
      </c>
      <c r="H60" s="75" t="s">
        <v>1100</v>
      </c>
      <c r="J60" s="76" t="s">
        <v>63</v>
      </c>
      <c r="K60" s="65">
        <v>2018</v>
      </c>
    </row>
    <row r="61" spans="2:11" ht="15.75" customHeight="1" outlineLevel="1" thickBot="1" x14ac:dyDescent="0.4">
      <c r="B61" s="74">
        <v>2016</v>
      </c>
      <c r="C61" s="66">
        <v>0.32100000000000001</v>
      </c>
      <c r="D61" s="67">
        <v>0.28499999999999998</v>
      </c>
      <c r="E61" s="67">
        <v>0.22600000000000001</v>
      </c>
      <c r="F61" s="66">
        <v>7.400000000000001E-2</v>
      </c>
      <c r="G61" s="67">
        <v>6.3E-2</v>
      </c>
      <c r="H61" s="67">
        <v>3.1E-2</v>
      </c>
      <c r="J61" s="76" t="s">
        <v>1101</v>
      </c>
      <c r="K61" s="68" t="s">
        <v>1099</v>
      </c>
    </row>
    <row r="62" spans="2:11" ht="15.75" customHeight="1" outlineLevel="1" thickBot="1" x14ac:dyDescent="0.4">
      <c r="B62" s="74">
        <v>2017</v>
      </c>
      <c r="C62" s="69">
        <v>0.312</v>
      </c>
      <c r="D62" s="70">
        <v>0.28300000000000003</v>
      </c>
      <c r="E62" s="70">
        <v>0.23600000000000002</v>
      </c>
      <c r="F62" s="69">
        <v>7.4999999999999997E-2</v>
      </c>
      <c r="G62" s="70">
        <v>6.7000000000000004E-2</v>
      </c>
      <c r="H62" s="70">
        <v>2.7000000000000003E-2</v>
      </c>
      <c r="J62" s="76" t="s">
        <v>1102</v>
      </c>
      <c r="K62" s="71">
        <f>MATCH(K60,B60:B65,0)</f>
        <v>4</v>
      </c>
    </row>
    <row r="63" spans="2:11" ht="15.75" customHeight="1" outlineLevel="1" thickBot="1" x14ac:dyDescent="0.4">
      <c r="B63" s="74">
        <v>2018</v>
      </c>
      <c r="C63" s="66">
        <v>0.29899999999999999</v>
      </c>
      <c r="D63" s="67">
        <v>0.26899999999999996</v>
      </c>
      <c r="E63" s="67">
        <v>0.27500000000000002</v>
      </c>
      <c r="F63" s="66">
        <v>6.6000000000000003E-2</v>
      </c>
      <c r="G63" s="67">
        <v>6.5000000000000002E-2</v>
      </c>
      <c r="H63" s="67">
        <v>2.6000000000000002E-2</v>
      </c>
      <c r="J63" s="76" t="s">
        <v>329</v>
      </c>
      <c r="K63" s="71">
        <f>MATCH(K61,B60:H60,0)</f>
        <v>6</v>
      </c>
    </row>
    <row r="64" spans="2:11" ht="15.75" customHeight="1" outlineLevel="1" thickBot="1" x14ac:dyDescent="0.4">
      <c r="B64" s="74">
        <v>2019</v>
      </c>
      <c r="C64" s="69">
        <v>0.27699999999999997</v>
      </c>
      <c r="D64" s="70">
        <v>0.253</v>
      </c>
      <c r="E64" s="70">
        <v>0.32299999999999995</v>
      </c>
      <c r="F64" s="69">
        <v>0.06</v>
      </c>
      <c r="G64" s="70">
        <v>6.4000000000000001E-2</v>
      </c>
      <c r="H64" s="70">
        <v>2.3E-2</v>
      </c>
      <c r="J64" s="76" t="s">
        <v>1103</v>
      </c>
      <c r="K64" s="72" cm="1">
        <f t="array" ref="K64">INDEX(B60:H65,K62,K63)</f>
        <v>6.5000000000000002E-2</v>
      </c>
    </row>
    <row r="65" spans="2:8" ht="15" customHeight="1" outlineLevel="1" thickBot="1" x14ac:dyDescent="0.4">
      <c r="B65" s="74">
        <v>2020</v>
      </c>
      <c r="C65" s="66">
        <v>0.26800000000000002</v>
      </c>
      <c r="D65" s="67">
        <v>0.247</v>
      </c>
      <c r="E65" s="67">
        <v>0.35</v>
      </c>
      <c r="F65" s="66">
        <v>5.2000000000000005E-2</v>
      </c>
      <c r="G65" s="67">
        <v>0.06</v>
      </c>
      <c r="H65" s="67">
        <v>2.2000000000000002E-2</v>
      </c>
    </row>
    <row r="66" spans="2:8" ht="14.25" customHeight="1" outlineLevel="1" x14ac:dyDescent="0.35"/>
    <row r="67" spans="2:8" ht="18" outlineLevel="1" x14ac:dyDescent="0.35"/>
    <row r="68" spans="2:8" ht="18" x14ac:dyDescent="0.35"/>
    <row r="69" spans="2:8" ht="18" x14ac:dyDescent="0.35"/>
    <row r="70" spans="2:8" ht="18" x14ac:dyDescent="0.35">
      <c r="C70" s="3"/>
    </row>
    <row r="71" spans="2:8" ht="14.25" customHeight="1" x14ac:dyDescent="0.35">
      <c r="C71" s="3"/>
    </row>
    <row r="72" spans="2:8" ht="14.25" customHeight="1" x14ac:dyDescent="0.35">
      <c r="C72" s="3"/>
    </row>
    <row r="73" spans="2:8" ht="18" x14ac:dyDescent="0.35">
      <c r="C73" s="3"/>
    </row>
    <row r="74" spans="2:8" ht="18" x14ac:dyDescent="0.35">
      <c r="C74" s="3"/>
    </row>
    <row r="75" spans="2:8" ht="18" x14ac:dyDescent="0.35">
      <c r="C75" s="3"/>
    </row>
    <row r="76" spans="2:8" ht="18" x14ac:dyDescent="0.35">
      <c r="C76" s="3"/>
    </row>
    <row r="77" spans="2:8" ht="18" x14ac:dyDescent="0.35">
      <c r="C77" s="3"/>
    </row>
    <row r="78" spans="2:8" ht="18" x14ac:dyDescent="0.35">
      <c r="C78" s="29"/>
    </row>
    <row r="79" spans="2:8" ht="18" x14ac:dyDescent="0.35">
      <c r="C79" s="3"/>
    </row>
    <row r="80" spans="2:8" ht="18" x14ac:dyDescent="0.35">
      <c r="C80" s="29"/>
    </row>
    <row r="81" spans="2:12" ht="18" x14ac:dyDescent="0.35">
      <c r="B81" s="4" t="s">
        <v>371</v>
      </c>
    </row>
    <row r="82" spans="2:12" ht="18" x14ac:dyDescent="0.35">
      <c r="B82" s="2" t="s">
        <v>372</v>
      </c>
    </row>
    <row r="83" spans="2:12" ht="18.75" thickBot="1" x14ac:dyDescent="0.4"/>
    <row r="84" spans="2:12" ht="18.75" thickBot="1" x14ac:dyDescent="0.4">
      <c r="B84" s="73" t="s">
        <v>1094</v>
      </c>
      <c r="C84" s="75" t="s">
        <v>1095</v>
      </c>
      <c r="D84" s="75" t="s">
        <v>1096</v>
      </c>
      <c r="E84" s="75" t="s">
        <v>1097</v>
      </c>
      <c r="F84" s="75" t="s">
        <v>1098</v>
      </c>
      <c r="G84" s="75" t="s">
        <v>1099</v>
      </c>
      <c r="H84" s="75" t="s">
        <v>1100</v>
      </c>
      <c r="J84" s="76" t="s">
        <v>63</v>
      </c>
      <c r="K84" s="65">
        <v>2018</v>
      </c>
    </row>
    <row r="85" spans="2:12" ht="18.75" thickBot="1" x14ac:dyDescent="0.4">
      <c r="B85" s="74">
        <v>2016</v>
      </c>
      <c r="C85" s="66">
        <v>0.32100000000000001</v>
      </c>
      <c r="D85" s="67">
        <v>0.28499999999999998</v>
      </c>
      <c r="E85" s="67">
        <v>0.22600000000000001</v>
      </c>
      <c r="F85" s="66">
        <v>7.400000000000001E-2</v>
      </c>
      <c r="G85" s="67">
        <v>6.3E-2</v>
      </c>
      <c r="H85" s="67">
        <v>3.1E-2</v>
      </c>
      <c r="J85" s="76" t="s">
        <v>1101</v>
      </c>
      <c r="K85" s="68" t="s">
        <v>1099</v>
      </c>
    </row>
    <row r="86" spans="2:12" ht="18.75" thickBot="1" x14ac:dyDescent="0.4">
      <c r="B86" s="74">
        <v>2017</v>
      </c>
      <c r="C86" s="69">
        <v>0.312</v>
      </c>
      <c r="D86" s="70">
        <v>0.28300000000000003</v>
      </c>
      <c r="E86" s="70">
        <v>0.23600000000000002</v>
      </c>
      <c r="F86" s="69">
        <v>7.4999999999999997E-2</v>
      </c>
      <c r="G86" s="70">
        <v>6.7000000000000004E-2</v>
      </c>
      <c r="H86" s="70">
        <v>2.7000000000000003E-2</v>
      </c>
      <c r="J86" s="76" t="s">
        <v>1102</v>
      </c>
      <c r="K86" s="71">
        <f>MATCH(K84,B84:B89,0)</f>
        <v>4</v>
      </c>
    </row>
    <row r="87" spans="2:12" ht="18.75" thickBot="1" x14ac:dyDescent="0.4">
      <c r="B87" s="74">
        <v>2018</v>
      </c>
      <c r="C87" s="66">
        <v>0.29899999999999999</v>
      </c>
      <c r="D87" s="67">
        <v>0.26899999999999996</v>
      </c>
      <c r="E87" s="67">
        <v>0.27500000000000002</v>
      </c>
      <c r="F87" s="66">
        <v>6.6000000000000003E-2</v>
      </c>
      <c r="G87" s="67">
        <v>6.5000000000000002E-2</v>
      </c>
      <c r="H87" s="67">
        <v>2.6000000000000002E-2</v>
      </c>
      <c r="J87" s="76" t="s">
        <v>329</v>
      </c>
      <c r="K87" s="71">
        <f>MATCH(K85,B84:H84,0)</f>
        <v>6</v>
      </c>
    </row>
    <row r="88" spans="2:12" ht="18.75" thickBot="1" x14ac:dyDescent="0.4">
      <c r="B88" s="74">
        <v>2019</v>
      </c>
      <c r="C88" s="69">
        <v>0.27699999999999997</v>
      </c>
      <c r="D88" s="70">
        <v>0.253</v>
      </c>
      <c r="E88" s="70">
        <v>0.32299999999999995</v>
      </c>
      <c r="F88" s="69">
        <v>0.06</v>
      </c>
      <c r="G88" s="70">
        <v>6.4000000000000001E-2</v>
      </c>
      <c r="H88" s="70">
        <v>2.3E-2</v>
      </c>
      <c r="J88" s="76" t="s">
        <v>1103</v>
      </c>
      <c r="K88" s="72">
        <f>INDEX(B84:H89,MATCH(K84,B84:B89,0),MATCH(K85,B84:H84,0))</f>
        <v>6.5000000000000002E-2</v>
      </c>
    </row>
    <row r="89" spans="2:12" ht="18.75" thickBot="1" x14ac:dyDescent="0.4">
      <c r="B89" s="74">
        <v>2020</v>
      </c>
      <c r="C89" s="66">
        <v>0.26800000000000002</v>
      </c>
      <c r="D89" s="67">
        <v>0.247</v>
      </c>
      <c r="E89" s="67">
        <v>0.35</v>
      </c>
      <c r="F89" s="66">
        <v>5.2000000000000005E-2</v>
      </c>
      <c r="G89" s="67">
        <v>0.06</v>
      </c>
      <c r="H89" s="67">
        <v>2.2000000000000002E-2</v>
      </c>
    </row>
    <row r="90" spans="2:12" ht="18" x14ac:dyDescent="0.35">
      <c r="C90" s="30"/>
    </row>
    <row r="93" spans="2:12" ht="18" x14ac:dyDescent="0.35">
      <c r="B93" s="4" t="s">
        <v>1111</v>
      </c>
    </row>
    <row r="94" spans="2:12" ht="18" x14ac:dyDescent="0.35">
      <c r="B94" s="2" t="s">
        <v>1112</v>
      </c>
    </row>
    <row r="95" spans="2:12" ht="18.75" thickBot="1" x14ac:dyDescent="0.4"/>
    <row r="96" spans="2:12" ht="18.75" thickBot="1" x14ac:dyDescent="0.4">
      <c r="B96" s="78" t="s">
        <v>1104</v>
      </c>
      <c r="C96" s="81">
        <v>10</v>
      </c>
      <c r="D96" s="81">
        <v>20</v>
      </c>
      <c r="E96" s="81">
        <v>50</v>
      </c>
      <c r="F96" s="81">
        <v>100</v>
      </c>
      <c r="G96" s="81">
        <v>150</v>
      </c>
      <c r="H96" s="81">
        <v>200</v>
      </c>
      <c r="I96" s="59"/>
      <c r="J96" s="82" t="s">
        <v>1105</v>
      </c>
      <c r="K96" s="77" t="s">
        <v>1106</v>
      </c>
      <c r="L96" s="59"/>
    </row>
    <row r="97" spans="2:13" ht="18.75" thickBot="1" x14ac:dyDescent="0.4">
      <c r="B97" s="79" t="s">
        <v>1107</v>
      </c>
      <c r="C97" s="60">
        <v>0.05</v>
      </c>
      <c r="D97" s="61">
        <v>0.1</v>
      </c>
      <c r="E97" s="61">
        <v>0.15</v>
      </c>
      <c r="F97" s="60">
        <v>0.2</v>
      </c>
      <c r="G97" s="60">
        <v>0.2</v>
      </c>
      <c r="H97" s="60">
        <v>0.2</v>
      </c>
      <c r="I97" s="59"/>
      <c r="J97" s="82" t="s">
        <v>1108</v>
      </c>
      <c r="K97" s="77">
        <v>50</v>
      </c>
      <c r="L97" s="59"/>
    </row>
    <row r="98" spans="2:13" ht="18.75" thickBot="1" x14ac:dyDescent="0.4">
      <c r="B98" s="80" t="s">
        <v>1109</v>
      </c>
      <c r="C98" s="60">
        <v>0.06</v>
      </c>
      <c r="D98" s="63">
        <v>0.11</v>
      </c>
      <c r="E98" s="63">
        <v>0.16</v>
      </c>
      <c r="F98" s="62">
        <v>0.21</v>
      </c>
      <c r="G98" s="62">
        <v>0.21</v>
      </c>
      <c r="H98" s="62">
        <v>0.21</v>
      </c>
      <c r="I98" s="59"/>
      <c r="J98" s="82" t="s">
        <v>1103</v>
      </c>
      <c r="K98" s="64">
        <f>INDEX(B96:H101,MATCH(K96,B96:B101,0),MATCH(K97,B96:H96,1))</f>
        <v>0.17</v>
      </c>
      <c r="L98" s="59"/>
    </row>
    <row r="99" spans="2:13" ht="18.75" thickBot="1" x14ac:dyDescent="0.4">
      <c r="B99" s="79" t="s">
        <v>1106</v>
      </c>
      <c r="C99" s="60">
        <v>7.0000000000000007E-2</v>
      </c>
      <c r="D99" s="61">
        <v>0.12</v>
      </c>
      <c r="E99" s="61">
        <v>0.17</v>
      </c>
      <c r="F99" s="60">
        <v>0.22</v>
      </c>
      <c r="G99" s="60">
        <v>0.22</v>
      </c>
      <c r="H99" s="60">
        <v>0.22</v>
      </c>
      <c r="I99" s="59"/>
      <c r="J99" s="59"/>
      <c r="K99" s="59"/>
      <c r="L99" s="59"/>
    </row>
    <row r="100" spans="2:13" ht="18.75" thickBot="1" x14ac:dyDescent="0.4">
      <c r="B100" s="80" t="s">
        <v>336</v>
      </c>
      <c r="C100" s="60">
        <v>0.08</v>
      </c>
      <c r="D100" s="63">
        <v>0.13</v>
      </c>
      <c r="E100" s="63">
        <v>0.18</v>
      </c>
      <c r="F100" s="62">
        <v>0.23</v>
      </c>
      <c r="G100" s="62">
        <v>0.23</v>
      </c>
      <c r="H100" s="62">
        <v>0.23</v>
      </c>
      <c r="I100" s="59"/>
      <c r="J100" s="59"/>
      <c r="K100" s="59"/>
      <c r="L100" s="59"/>
    </row>
    <row r="101" spans="2:13" ht="18.75" thickBot="1" x14ac:dyDescent="0.4">
      <c r="B101" s="79" t="s">
        <v>1110</v>
      </c>
      <c r="C101" s="60">
        <v>0.09</v>
      </c>
      <c r="D101" s="61">
        <v>0.14000000000000001</v>
      </c>
      <c r="E101" s="61">
        <v>0.19</v>
      </c>
      <c r="F101" s="60">
        <v>0.24</v>
      </c>
      <c r="G101" s="60">
        <v>0.24</v>
      </c>
      <c r="H101" s="60">
        <v>0.24</v>
      </c>
      <c r="I101" s="59"/>
      <c r="J101" s="59"/>
      <c r="K101" s="59"/>
      <c r="L101" s="59"/>
    </row>
    <row r="106" spans="2:13" ht="18" x14ac:dyDescent="0.35">
      <c r="B106" s="4" t="s">
        <v>1122</v>
      </c>
    </row>
    <row r="107" spans="2:13" ht="18" x14ac:dyDescent="0.35">
      <c r="B107" s="2" t="s">
        <v>1123</v>
      </c>
    </row>
    <row r="111" spans="2:13" ht="18.75" thickBot="1" x14ac:dyDescent="0.4"/>
    <row r="112" spans="2:13" ht="18.75" thickBot="1" x14ac:dyDescent="0.4">
      <c r="B112" s="84" t="s">
        <v>1113</v>
      </c>
      <c r="C112" s="86" t="s">
        <v>1114</v>
      </c>
      <c r="D112" s="86" t="s">
        <v>1115</v>
      </c>
      <c r="E112" s="86" t="s">
        <v>1116</v>
      </c>
      <c r="F112" s="86" t="s">
        <v>1117</v>
      </c>
      <c r="G112" s="86" t="s">
        <v>1118</v>
      </c>
      <c r="H112" s="86" t="s">
        <v>1119</v>
      </c>
      <c r="I112" s="86" t="s">
        <v>1120</v>
      </c>
      <c r="J112" s="86" t="s">
        <v>1121</v>
      </c>
      <c r="K112" s="59"/>
      <c r="L112" s="82" t="s">
        <v>63</v>
      </c>
      <c r="M112" s="77">
        <v>2017</v>
      </c>
    </row>
    <row r="113" spans="2:13" ht="18.75" thickBot="1" x14ac:dyDescent="0.4">
      <c r="B113" s="85">
        <v>2011</v>
      </c>
      <c r="C113" s="83">
        <v>993326</v>
      </c>
      <c r="D113" s="83">
        <v>193190</v>
      </c>
      <c r="E113" s="83">
        <v>308040</v>
      </c>
      <c r="F113" s="83">
        <v>137852</v>
      </c>
      <c r="G113" s="83">
        <v>125967</v>
      </c>
      <c r="H113" s="83">
        <v>152152</v>
      </c>
      <c r="I113" s="83">
        <v>75361</v>
      </c>
      <c r="J113" s="83">
        <v>25929</v>
      </c>
      <c r="K113" s="59"/>
      <c r="L113" s="82" t="s">
        <v>1101</v>
      </c>
      <c r="M113" s="77" t="s">
        <v>1119</v>
      </c>
    </row>
    <row r="114" spans="2:13" ht="18.75" thickBot="1" x14ac:dyDescent="0.4">
      <c r="B114" s="85">
        <v>2012</v>
      </c>
      <c r="C114" s="83">
        <v>997142</v>
      </c>
      <c r="D114" s="83">
        <v>183936</v>
      </c>
      <c r="E114" s="83">
        <v>283367</v>
      </c>
      <c r="F114" s="83">
        <v>134112</v>
      </c>
      <c r="G114" s="83">
        <v>132562</v>
      </c>
      <c r="H114" s="83">
        <v>149483</v>
      </c>
      <c r="I114" s="83">
        <v>71950</v>
      </c>
      <c r="J114" s="83">
        <v>28796</v>
      </c>
      <c r="K114" s="59"/>
      <c r="L114" s="82" t="s">
        <v>1108</v>
      </c>
      <c r="M114" s="122">
        <f>INDEX(B112:J122,MATCH(M112,B112:B122,0),MATCH(M113,B112:J112,0))</f>
        <v>144003</v>
      </c>
    </row>
    <row r="115" spans="2:13" ht="18.75" thickBot="1" x14ac:dyDescent="0.4">
      <c r="B115" s="85">
        <v>2013</v>
      </c>
      <c r="C115" s="83">
        <v>1001786</v>
      </c>
      <c r="D115" s="83">
        <v>180953</v>
      </c>
      <c r="E115" s="83">
        <v>277435</v>
      </c>
      <c r="F115" s="83">
        <v>131136</v>
      </c>
      <c r="G115" s="83">
        <v>123395</v>
      </c>
      <c r="H115" s="83">
        <v>166617</v>
      </c>
      <c r="I115" s="83">
        <v>70015</v>
      </c>
      <c r="J115" s="83">
        <v>30569</v>
      </c>
      <c r="K115" s="59"/>
      <c r="L115" s="59"/>
      <c r="M115" s="59"/>
    </row>
    <row r="116" spans="2:13" ht="18.75" thickBot="1" x14ac:dyDescent="0.4">
      <c r="B116" s="85">
        <v>2014</v>
      </c>
      <c r="C116" s="83">
        <v>962163</v>
      </c>
      <c r="D116" s="83">
        <v>161186</v>
      </c>
      <c r="E116" s="83">
        <v>257333</v>
      </c>
      <c r="F116" s="83">
        <v>141514</v>
      </c>
      <c r="G116" s="83">
        <v>117131</v>
      </c>
      <c r="H116" s="83">
        <v>173921</v>
      </c>
      <c r="I116" s="83">
        <v>65283</v>
      </c>
      <c r="J116" s="83">
        <v>35703</v>
      </c>
      <c r="K116" s="59"/>
      <c r="L116" s="59"/>
      <c r="M116" s="59"/>
    </row>
    <row r="117" spans="2:13" ht="18.75" thickBot="1" x14ac:dyDescent="0.4">
      <c r="B117" s="85">
        <v>2015</v>
      </c>
      <c r="C117" s="83">
        <v>921338</v>
      </c>
      <c r="D117" s="83">
        <v>159368</v>
      </c>
      <c r="E117" s="83">
        <v>241825</v>
      </c>
      <c r="F117" s="83">
        <v>139734</v>
      </c>
      <c r="G117" s="83">
        <v>122457</v>
      </c>
      <c r="H117" s="83">
        <v>160338</v>
      </c>
      <c r="I117" s="83">
        <v>75239</v>
      </c>
      <c r="J117" s="83">
        <v>38268</v>
      </c>
      <c r="K117" s="59"/>
      <c r="L117" s="59"/>
      <c r="M117" s="59"/>
    </row>
    <row r="118" spans="2:13" ht="18.75" thickBot="1" x14ac:dyDescent="0.4">
      <c r="B118" s="85">
        <v>2016</v>
      </c>
      <c r="C118" s="83">
        <v>871288</v>
      </c>
      <c r="D118" s="83">
        <v>146298</v>
      </c>
      <c r="E118" s="83">
        <v>238048</v>
      </c>
      <c r="F118" s="83">
        <v>126446</v>
      </c>
      <c r="G118" s="83">
        <v>127733</v>
      </c>
      <c r="H118" s="83">
        <v>148714</v>
      </c>
      <c r="I118" s="83">
        <v>82750</v>
      </c>
      <c r="J118" s="83">
        <v>37736</v>
      </c>
      <c r="K118" s="59"/>
      <c r="L118" s="59"/>
      <c r="M118" s="59"/>
    </row>
    <row r="119" spans="2:13" ht="18.75" thickBot="1" x14ac:dyDescent="0.4">
      <c r="B119" s="85">
        <v>2017</v>
      </c>
      <c r="C119" s="83">
        <v>857011</v>
      </c>
      <c r="D119" s="83">
        <v>150881</v>
      </c>
      <c r="E119" s="83">
        <v>221935</v>
      </c>
      <c r="F119" s="83">
        <v>124651</v>
      </c>
      <c r="G119" s="83">
        <v>130663</v>
      </c>
      <c r="H119" s="83">
        <v>144003</v>
      </c>
      <c r="I119" s="83">
        <v>89860</v>
      </c>
      <c r="J119" s="83">
        <v>39360</v>
      </c>
      <c r="K119" s="59"/>
      <c r="L119" s="59"/>
      <c r="M119" s="59"/>
    </row>
    <row r="120" spans="2:13" ht="18.75" thickBot="1" x14ac:dyDescent="0.4">
      <c r="B120" s="85">
        <v>2018</v>
      </c>
      <c r="C120" s="83">
        <v>832230</v>
      </c>
      <c r="D120" s="83">
        <v>136969</v>
      </c>
      <c r="E120" s="83">
        <v>217211</v>
      </c>
      <c r="F120" s="83">
        <v>120043</v>
      </c>
      <c r="G120" s="83">
        <v>126317</v>
      </c>
      <c r="H120" s="83">
        <v>125109</v>
      </c>
      <c r="I120" s="83">
        <v>94607</v>
      </c>
      <c r="J120" s="83">
        <v>36977</v>
      </c>
      <c r="K120" s="59"/>
      <c r="L120" s="59"/>
      <c r="M120" s="59"/>
    </row>
    <row r="121" spans="2:13" ht="18.75" thickBot="1" x14ac:dyDescent="0.4">
      <c r="B121" s="85">
        <v>2019</v>
      </c>
      <c r="C121" s="83">
        <v>832623</v>
      </c>
      <c r="D121" s="83">
        <v>139233</v>
      </c>
      <c r="E121" s="83">
        <v>198204</v>
      </c>
      <c r="F121" s="83">
        <v>121667</v>
      </c>
      <c r="G121" s="83">
        <v>129064</v>
      </c>
      <c r="H121" s="83">
        <v>112261</v>
      </c>
      <c r="I121" s="83">
        <v>93806</v>
      </c>
      <c r="J121" s="83">
        <v>38462</v>
      </c>
      <c r="K121" s="59"/>
      <c r="L121" s="59"/>
      <c r="M121" s="59"/>
    </row>
    <row r="122" spans="2:13" ht="18.75" thickBot="1" x14ac:dyDescent="0.4">
      <c r="B122" s="85">
        <v>2020</v>
      </c>
      <c r="C122" s="83">
        <v>923194</v>
      </c>
      <c r="D122" s="83">
        <v>160308</v>
      </c>
      <c r="E122" s="83">
        <v>205236</v>
      </c>
      <c r="F122" s="83">
        <v>139066</v>
      </c>
      <c r="G122" s="83">
        <v>129408</v>
      </c>
      <c r="H122" s="83">
        <v>100574</v>
      </c>
      <c r="I122" s="83">
        <v>110005</v>
      </c>
      <c r="J122" s="83">
        <v>46723</v>
      </c>
      <c r="K122" s="59"/>
      <c r="L122" s="59"/>
      <c r="M122" s="59"/>
    </row>
    <row r="123" spans="2:13" ht="18" x14ac:dyDescent="0.35"/>
    <row r="124" spans="2:13" ht="18" x14ac:dyDescent="0.35"/>
    <row r="125" spans="2:13" ht="18" x14ac:dyDescent="0.35"/>
    <row r="126" spans="2:13" ht="18" x14ac:dyDescent="0.35"/>
  </sheetData>
  <protectedRanges>
    <protectedRange sqref="K25:K27 K62:K64 K86:K88" name="Rango1_1"/>
    <protectedRange sqref="K96:K98" name="Rango1_2"/>
    <protectedRange sqref="M112:M114" name="Rango1_3"/>
  </protectedRanges>
  <mergeCells count="2">
    <mergeCell ref="B20:H20"/>
    <mergeCell ref="B21:H21"/>
  </mergeCells>
  <dataValidations count="4">
    <dataValidation type="list" allowBlank="1" showInputMessage="1" showErrorMessage="1" sqref="K96" xr:uid="{845B86C0-DF60-4FF4-A349-064E7D7982F4}">
      <formula1>$B$97:$B$101</formula1>
    </dataValidation>
    <dataValidation type="list" allowBlank="1" showInputMessage="1" showErrorMessage="1" sqref="M113 K24 K61 K85" xr:uid="{E6CE73D3-1EF5-4E85-8E41-16623E8C4A67}">
      <formula1>$C$23:$H$23</formula1>
    </dataValidation>
    <dataValidation type="list" allowBlank="1" showInputMessage="1" showErrorMessage="1" sqref="M112" xr:uid="{B35011D1-2A9A-40C0-A577-3196B41B4D4A}">
      <formula1>$B$113:$B$122</formula1>
    </dataValidation>
    <dataValidation type="list" allowBlank="1" showInputMessage="1" showErrorMessage="1" sqref="K23 K60 K84" xr:uid="{EBCAB44B-8A26-46E6-BF35-21A23F42DE1B}">
      <formula1>$B$24:$B$28</formula1>
    </dataValidation>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725D-C487-4458-8691-5F71F1E90375}">
  <dimension ref="B20:O183"/>
  <sheetViews>
    <sheetView showGridLines="0" zoomScale="90" zoomScaleNormal="90" workbookViewId="0">
      <pane ySplit="3" topLeftCell="A73" activePane="bottomLeft" state="frozen"/>
      <selection pane="bottomLeft" activeCell="F86" sqref="F86"/>
    </sheetView>
  </sheetViews>
  <sheetFormatPr baseColWidth="10" defaultColWidth="11.5" defaultRowHeight="14.25" x14ac:dyDescent="0.2"/>
  <cols>
    <col min="1" max="1" width="1.5" style="2" customWidth="1"/>
    <col min="2" max="2" width="12.25" style="2" customWidth="1"/>
    <col min="3" max="3" width="34.25" style="2" bestFit="1" customWidth="1"/>
    <col min="4" max="4" width="12.875" style="2" bestFit="1" customWidth="1"/>
    <col min="5" max="5" width="22.75" style="2" bestFit="1" customWidth="1"/>
    <col min="6" max="6" width="14.875" style="2" bestFit="1" customWidth="1"/>
    <col min="7" max="7" width="34.25" style="2" bestFit="1" customWidth="1"/>
    <col min="8" max="8" width="22.75" style="2" customWidth="1"/>
    <col min="9" max="9" width="12.125" style="2" customWidth="1"/>
    <col min="10" max="10" width="10.75" style="2" bestFit="1" customWidth="1"/>
    <col min="11" max="11" width="13.5" style="2" bestFit="1" customWidth="1"/>
    <col min="12" max="12" width="9.5" style="2" bestFit="1" customWidth="1"/>
    <col min="13" max="16384" width="11.5" style="2"/>
  </cols>
  <sheetData>
    <row r="20" spans="2:9" customFormat="1" ht="15" x14ac:dyDescent="0.25">
      <c r="B20" s="28" t="s">
        <v>446</v>
      </c>
    </row>
    <row r="21" spans="2:9" customFormat="1" x14ac:dyDescent="0.2">
      <c r="B21" t="s">
        <v>445</v>
      </c>
    </row>
    <row r="22" spans="2:9" customFormat="1" x14ac:dyDescent="0.2"/>
    <row r="23" spans="2:9" customFormat="1" ht="15" x14ac:dyDescent="0.2">
      <c r="B23" s="14" t="s">
        <v>442</v>
      </c>
      <c r="C23" s="14" t="s">
        <v>422</v>
      </c>
      <c r="D23" s="14" t="s">
        <v>423</v>
      </c>
      <c r="E23" s="14" t="s">
        <v>424</v>
      </c>
      <c r="F23" s="14" t="s">
        <v>425</v>
      </c>
      <c r="H23" s="14" t="s">
        <v>442</v>
      </c>
      <c r="I23" s="32" t="s">
        <v>430</v>
      </c>
    </row>
    <row r="24" spans="2:9" customFormat="1" ht="15" x14ac:dyDescent="0.2">
      <c r="B24" s="31" t="s">
        <v>426</v>
      </c>
      <c r="C24" s="31">
        <v>49.6</v>
      </c>
      <c r="D24" s="31">
        <v>47</v>
      </c>
      <c r="E24" s="31">
        <v>0.5</v>
      </c>
      <c r="F24" s="31">
        <v>0.2</v>
      </c>
      <c r="H24" s="14" t="s">
        <v>443</v>
      </c>
      <c r="I24" s="32" t="s">
        <v>422</v>
      </c>
    </row>
    <row r="25" spans="2:9" customFormat="1" ht="15" x14ac:dyDescent="0.2">
      <c r="B25" s="31" t="s">
        <v>427</v>
      </c>
      <c r="C25" s="31">
        <v>47</v>
      </c>
      <c r="D25" s="31">
        <v>52.4</v>
      </c>
      <c r="E25" s="31">
        <v>0.5</v>
      </c>
      <c r="F25" s="31">
        <v>0.1</v>
      </c>
      <c r="H25" s="14" t="s">
        <v>447</v>
      </c>
      <c r="I25" s="33">
        <f>INDEX(B23:F39,MATCH(I23,B23:B39,0),MATCH(I24,B23:F23,0))</f>
        <v>46.8</v>
      </c>
    </row>
    <row r="26" spans="2:9" customFormat="1" x14ac:dyDescent="0.2">
      <c r="B26" s="31" t="s">
        <v>428</v>
      </c>
      <c r="C26" s="31">
        <v>49.8</v>
      </c>
      <c r="D26" s="31">
        <v>49.6</v>
      </c>
      <c r="E26" s="31">
        <v>0.4</v>
      </c>
      <c r="F26" s="31">
        <v>0.2</v>
      </c>
      <c r="I26" s="9"/>
    </row>
    <row r="27" spans="2:9" customFormat="1" x14ac:dyDescent="0.2">
      <c r="B27" s="31" t="s">
        <v>429</v>
      </c>
      <c r="C27" s="31">
        <v>47.1</v>
      </c>
      <c r="D27" s="31">
        <v>52.4</v>
      </c>
      <c r="E27" s="31">
        <v>0.4</v>
      </c>
      <c r="F27" s="31">
        <v>0.1</v>
      </c>
    </row>
    <row r="28" spans="2:9" customFormat="1" x14ac:dyDescent="0.2">
      <c r="B28" s="31" t="s">
        <v>430</v>
      </c>
      <c r="C28" s="31">
        <v>46.8</v>
      </c>
      <c r="D28" s="31">
        <v>52.6</v>
      </c>
      <c r="E28" s="31">
        <v>0.4</v>
      </c>
      <c r="F28" s="31">
        <v>0.1</v>
      </c>
    </row>
    <row r="29" spans="2:9" customFormat="1" x14ac:dyDescent="0.2">
      <c r="B29" s="31" t="s">
        <v>431</v>
      </c>
      <c r="C29" s="31">
        <v>47.4</v>
      </c>
      <c r="D29" s="31">
        <v>52</v>
      </c>
      <c r="E29" s="31">
        <v>0.4</v>
      </c>
      <c r="F29" s="31">
        <v>0.1</v>
      </c>
    </row>
    <row r="30" spans="2:9" customFormat="1" x14ac:dyDescent="0.2">
      <c r="B30" s="31" t="s">
        <v>432</v>
      </c>
      <c r="C30" s="31">
        <v>47.7</v>
      </c>
      <c r="D30" s="31">
        <v>51.9</v>
      </c>
      <c r="E30" s="31">
        <v>0.3</v>
      </c>
      <c r="F30" s="31">
        <v>0.1</v>
      </c>
    </row>
    <row r="31" spans="2:9" customFormat="1" x14ac:dyDescent="0.2">
      <c r="B31" s="31" t="s">
        <v>433</v>
      </c>
      <c r="C31" s="31">
        <v>48.5</v>
      </c>
      <c r="D31" s="31">
        <v>51.2</v>
      </c>
      <c r="E31" s="31">
        <v>0.2</v>
      </c>
      <c r="F31" s="31">
        <v>0.1</v>
      </c>
    </row>
    <row r="32" spans="2:9" customFormat="1" x14ac:dyDescent="0.2">
      <c r="B32" s="31" t="s">
        <v>434</v>
      </c>
      <c r="C32" s="31">
        <v>47.8</v>
      </c>
      <c r="D32" s="31">
        <v>51.9</v>
      </c>
      <c r="E32" s="31">
        <v>0.2</v>
      </c>
      <c r="F32" s="31">
        <v>0.1</v>
      </c>
    </row>
    <row r="33" spans="2:9" customFormat="1" x14ac:dyDescent="0.2">
      <c r="B33" s="31" t="s">
        <v>435</v>
      </c>
      <c r="C33" s="31">
        <v>47.1</v>
      </c>
      <c r="D33" s="31">
        <v>52.7</v>
      </c>
      <c r="E33" s="31">
        <v>0.2</v>
      </c>
      <c r="F33" s="31">
        <v>0.1</v>
      </c>
    </row>
    <row r="34" spans="2:9" customFormat="1" x14ac:dyDescent="0.2">
      <c r="B34" s="31" t="s">
        <v>436</v>
      </c>
      <c r="C34" s="31">
        <v>48.2</v>
      </c>
      <c r="D34" s="31">
        <v>51.4</v>
      </c>
      <c r="E34" s="31">
        <v>0.2</v>
      </c>
      <c r="F34" s="31">
        <v>0.1</v>
      </c>
    </row>
    <row r="35" spans="2:9" customFormat="1" x14ac:dyDescent="0.2">
      <c r="B35" s="31" t="s">
        <v>437</v>
      </c>
      <c r="C35" s="31">
        <v>48.2</v>
      </c>
      <c r="D35" s="31">
        <v>51.4</v>
      </c>
      <c r="E35" s="31">
        <v>0.2</v>
      </c>
      <c r="F35" s="31">
        <v>0.1</v>
      </c>
    </row>
    <row r="36" spans="2:9" customFormat="1" x14ac:dyDescent="0.2">
      <c r="B36" s="31" t="s">
        <v>438</v>
      </c>
      <c r="C36" s="31">
        <v>47.6</v>
      </c>
      <c r="D36" s="31">
        <v>52.2</v>
      </c>
      <c r="E36" s="31">
        <v>0.2</v>
      </c>
      <c r="F36" s="31">
        <v>0</v>
      </c>
    </row>
    <row r="37" spans="2:9" x14ac:dyDescent="0.2">
      <c r="B37" s="15" t="s">
        <v>439</v>
      </c>
      <c r="C37" s="15">
        <v>46.46</v>
      </c>
      <c r="D37" s="15">
        <v>53.1</v>
      </c>
      <c r="E37" s="15">
        <v>0.2</v>
      </c>
      <c r="F37" s="15">
        <v>0</v>
      </c>
    </row>
    <row r="38" spans="2:9" x14ac:dyDescent="0.2">
      <c r="B38" s="15" t="s">
        <v>440</v>
      </c>
      <c r="C38" s="15">
        <v>46.5</v>
      </c>
      <c r="D38" s="15">
        <v>54.1</v>
      </c>
      <c r="E38" s="15">
        <v>0.3</v>
      </c>
      <c r="F38" s="15">
        <v>0.1</v>
      </c>
    </row>
    <row r="39" spans="2:9" x14ac:dyDescent="0.2">
      <c r="B39" s="15" t="s">
        <v>441</v>
      </c>
      <c r="C39" s="15">
        <v>45.8</v>
      </c>
      <c r="D39" s="15">
        <v>54</v>
      </c>
      <c r="E39" s="15">
        <v>0.2</v>
      </c>
      <c r="F39" s="15">
        <v>0</v>
      </c>
    </row>
    <row r="40" spans="2:9" customFormat="1" x14ac:dyDescent="0.2"/>
    <row r="41" spans="2:9" customFormat="1" x14ac:dyDescent="0.2"/>
    <row r="42" spans="2:9" customFormat="1" x14ac:dyDescent="0.2"/>
    <row r="43" spans="2:9" customFormat="1" x14ac:dyDescent="0.2"/>
    <row r="44" spans="2:9" customFormat="1" ht="15" x14ac:dyDescent="0.25">
      <c r="B44" s="28" t="s">
        <v>466</v>
      </c>
    </row>
    <row r="45" spans="2:9" customFormat="1" x14ac:dyDescent="0.2">
      <c r="B45" t="s">
        <v>448</v>
      </c>
    </row>
    <row r="46" spans="2:9" customFormat="1" x14ac:dyDescent="0.2"/>
    <row r="47" spans="2:9" customFormat="1" ht="15" x14ac:dyDescent="0.2">
      <c r="B47" s="14" t="s">
        <v>449</v>
      </c>
      <c r="C47" s="14" t="s">
        <v>450</v>
      </c>
      <c r="D47" s="14" t="s">
        <v>451</v>
      </c>
      <c r="E47" s="14" t="s">
        <v>467</v>
      </c>
      <c r="G47" s="14" t="s">
        <v>450</v>
      </c>
      <c r="H47" s="14" t="s">
        <v>467</v>
      </c>
      <c r="I47" s="2"/>
    </row>
    <row r="48" spans="2:9" customFormat="1" x14ac:dyDescent="0.2">
      <c r="B48" s="31">
        <v>1</v>
      </c>
      <c r="C48" s="31" t="s">
        <v>452</v>
      </c>
      <c r="D48" s="31">
        <v>100</v>
      </c>
      <c r="E48" s="36">
        <f>_xlfn.XLOOKUP(C48,$G$47:$G$62,$H$47:$H$62)</f>
        <v>100</v>
      </c>
      <c r="G48" s="31" t="s">
        <v>452</v>
      </c>
      <c r="H48" s="31">
        <v>100</v>
      </c>
      <c r="I48" s="2"/>
    </row>
    <row r="49" spans="2:9" customFormat="1" x14ac:dyDescent="0.2">
      <c r="B49" s="31">
        <v>2</v>
      </c>
      <c r="C49" s="31" t="s">
        <v>453</v>
      </c>
      <c r="D49" s="31">
        <v>99.2</v>
      </c>
      <c r="E49" s="36">
        <f t="shared" ref="E49:E62" si="0">_xlfn.XLOOKUP(C49,$G$47:$G$62,$H$47:$H$62)</f>
        <v>100</v>
      </c>
      <c r="G49" s="31" t="s">
        <v>453</v>
      </c>
      <c r="H49" s="31">
        <v>100</v>
      </c>
      <c r="I49" s="2"/>
    </row>
    <row r="50" spans="2:9" customFormat="1" x14ac:dyDescent="0.2">
      <c r="B50" s="31">
        <v>3</v>
      </c>
      <c r="C50" s="31" t="s">
        <v>454</v>
      </c>
      <c r="D50" s="31">
        <v>98.9</v>
      </c>
      <c r="E50" s="36">
        <f t="shared" si="0"/>
        <v>100</v>
      </c>
      <c r="G50" s="31" t="s">
        <v>454</v>
      </c>
      <c r="H50" s="31">
        <v>100</v>
      </c>
      <c r="I50" s="2"/>
    </row>
    <row r="51" spans="2:9" customFormat="1" x14ac:dyDescent="0.2">
      <c r="B51" s="31">
        <v>4</v>
      </c>
      <c r="C51" s="31" t="s">
        <v>455</v>
      </c>
      <c r="D51" s="31">
        <v>98.3</v>
      </c>
      <c r="E51" s="36">
        <f t="shared" si="0"/>
        <v>100</v>
      </c>
      <c r="G51" s="31" t="s">
        <v>455</v>
      </c>
      <c r="H51" s="31">
        <v>100</v>
      </c>
      <c r="I51" s="2"/>
    </row>
    <row r="52" spans="2:9" customFormat="1" x14ac:dyDescent="0.2">
      <c r="B52" s="31">
        <v>5</v>
      </c>
      <c r="C52" s="31" t="s">
        <v>456</v>
      </c>
      <c r="D52" s="31">
        <v>98.1</v>
      </c>
      <c r="E52" s="36">
        <f t="shared" si="0"/>
        <v>100</v>
      </c>
      <c r="G52" s="31" t="s">
        <v>456</v>
      </c>
      <c r="H52" s="31">
        <v>100</v>
      </c>
      <c r="I52" s="2"/>
    </row>
    <row r="53" spans="2:9" customFormat="1" x14ac:dyDescent="0.2">
      <c r="B53" s="31">
        <v>6</v>
      </c>
      <c r="C53" s="31" t="s">
        <v>457</v>
      </c>
      <c r="D53" s="31">
        <v>97.8</v>
      </c>
      <c r="E53" s="36">
        <f t="shared" si="0"/>
        <v>83</v>
      </c>
      <c r="G53" s="31" t="s">
        <v>457</v>
      </c>
      <c r="H53" s="31">
        <v>83</v>
      </c>
      <c r="I53" s="2"/>
    </row>
    <row r="54" spans="2:9" customFormat="1" x14ac:dyDescent="0.2">
      <c r="B54" s="31">
        <v>7</v>
      </c>
      <c r="C54" s="31" t="s">
        <v>458</v>
      </c>
      <c r="D54" s="31">
        <v>93.3</v>
      </c>
      <c r="E54" s="36">
        <f t="shared" si="0"/>
        <v>79.099999999999994</v>
      </c>
      <c r="G54" s="31" t="s">
        <v>458</v>
      </c>
      <c r="H54" s="31">
        <v>79.099999999999994</v>
      </c>
      <c r="I54" s="2"/>
    </row>
    <row r="55" spans="2:9" customFormat="1" x14ac:dyDescent="0.2">
      <c r="B55" s="31">
        <v>8</v>
      </c>
      <c r="C55" s="31" t="s">
        <v>459</v>
      </c>
      <c r="D55" s="31">
        <v>92.7</v>
      </c>
      <c r="E55" s="36">
        <f t="shared" si="0"/>
        <v>100</v>
      </c>
      <c r="G55" s="31" t="s">
        <v>459</v>
      </c>
      <c r="H55" s="31">
        <v>100</v>
      </c>
      <c r="I55" s="2"/>
    </row>
    <row r="56" spans="2:9" customFormat="1" x14ac:dyDescent="0.2">
      <c r="B56" s="31">
        <v>9</v>
      </c>
      <c r="C56" s="31" t="s">
        <v>460</v>
      </c>
      <c r="D56" s="31">
        <v>92.4</v>
      </c>
      <c r="E56" s="36">
        <f t="shared" si="0"/>
        <v>51.6</v>
      </c>
      <c r="G56" s="31" t="s">
        <v>460</v>
      </c>
      <c r="H56" s="31">
        <v>51.6</v>
      </c>
      <c r="I56" s="2"/>
    </row>
    <row r="57" spans="2:9" customFormat="1" x14ac:dyDescent="0.2">
      <c r="B57" s="31">
        <v>10</v>
      </c>
      <c r="C57" s="31" t="s">
        <v>461</v>
      </c>
      <c r="D57" s="31">
        <v>90.4</v>
      </c>
      <c r="E57" s="36">
        <f t="shared" si="0"/>
        <v>98.7</v>
      </c>
      <c r="G57" s="31" t="s">
        <v>461</v>
      </c>
      <c r="H57" s="31">
        <v>98.7</v>
      </c>
      <c r="I57" s="2"/>
    </row>
    <row r="58" spans="2:9" customFormat="1" x14ac:dyDescent="0.2">
      <c r="B58" s="31">
        <v>11</v>
      </c>
      <c r="C58" s="31" t="s">
        <v>462</v>
      </c>
      <c r="D58" s="31">
        <v>90.3</v>
      </c>
      <c r="E58" s="36">
        <f t="shared" si="0"/>
        <v>98.3</v>
      </c>
      <c r="G58" s="31" t="s">
        <v>462</v>
      </c>
      <c r="H58" s="31">
        <v>98.3</v>
      </c>
      <c r="I58" s="2"/>
    </row>
    <row r="59" spans="2:9" customFormat="1" x14ac:dyDescent="0.2">
      <c r="B59" s="31">
        <v>12</v>
      </c>
      <c r="C59" s="31" t="s">
        <v>463</v>
      </c>
      <c r="D59" s="31">
        <v>89.4</v>
      </c>
      <c r="E59" s="36">
        <f t="shared" si="0"/>
        <v>100</v>
      </c>
      <c r="G59" s="31" t="s">
        <v>463</v>
      </c>
      <c r="H59" s="31">
        <v>100</v>
      </c>
      <c r="I59" s="2"/>
    </row>
    <row r="60" spans="2:9" customFormat="1" x14ac:dyDescent="0.2">
      <c r="B60" s="31">
        <v>13</v>
      </c>
      <c r="C60" s="31" t="s">
        <v>464</v>
      </c>
      <c r="D60" s="31">
        <v>89.3</v>
      </c>
      <c r="E60" s="36">
        <f t="shared" si="0"/>
        <v>98</v>
      </c>
      <c r="G60" s="31" t="s">
        <v>464</v>
      </c>
      <c r="H60" s="31">
        <v>98</v>
      </c>
      <c r="I60" s="2"/>
    </row>
    <row r="61" spans="2:9" customFormat="1" x14ac:dyDescent="0.2">
      <c r="B61" s="31">
        <v>14</v>
      </c>
      <c r="C61" s="31" t="s">
        <v>465</v>
      </c>
      <c r="D61" s="31">
        <v>87.9</v>
      </c>
      <c r="E61" s="36">
        <f t="shared" si="0"/>
        <v>93.3</v>
      </c>
      <c r="G61" s="31" t="s">
        <v>465</v>
      </c>
      <c r="H61" s="31">
        <v>93.3</v>
      </c>
      <c r="I61" s="2"/>
    </row>
    <row r="62" spans="2:9" customFormat="1" x14ac:dyDescent="0.2">
      <c r="B62" s="31">
        <v>15</v>
      </c>
      <c r="C62" s="31" t="s">
        <v>468</v>
      </c>
      <c r="D62" s="31">
        <v>87.8</v>
      </c>
      <c r="E62" s="36">
        <f t="shared" si="0"/>
        <v>34.200000000000003</v>
      </c>
      <c r="G62" s="31" t="s">
        <v>468</v>
      </c>
      <c r="H62" s="31">
        <v>34.200000000000003</v>
      </c>
      <c r="I62" s="2"/>
    </row>
    <row r="66" spans="2:7" customFormat="1" ht="15" x14ac:dyDescent="0.25">
      <c r="B66" s="4" t="s">
        <v>469</v>
      </c>
      <c r="C66" s="2"/>
      <c r="D66" s="2"/>
      <c r="E66" s="2"/>
      <c r="F66" s="2"/>
      <c r="G66" s="2"/>
    </row>
    <row r="67" spans="2:7" customFormat="1" x14ac:dyDescent="0.2">
      <c r="B67" s="2" t="s">
        <v>470</v>
      </c>
      <c r="C67" s="2"/>
      <c r="D67" s="2"/>
      <c r="E67" s="2"/>
      <c r="F67" s="2"/>
      <c r="G67" s="2"/>
    </row>
    <row r="68" spans="2:7" customFormat="1" x14ac:dyDescent="0.2">
      <c r="B68" s="2"/>
      <c r="C68" s="2"/>
      <c r="D68" s="2"/>
      <c r="E68" s="2"/>
      <c r="F68" s="2"/>
      <c r="G68" s="2"/>
    </row>
    <row r="69" spans="2:7" customFormat="1" ht="15" x14ac:dyDescent="0.2">
      <c r="B69" s="14" t="s">
        <v>375</v>
      </c>
      <c r="C69" s="14" t="s">
        <v>376</v>
      </c>
      <c r="D69" s="14" t="s">
        <v>471</v>
      </c>
      <c r="E69" s="2"/>
      <c r="F69" s="14" t="s">
        <v>378</v>
      </c>
      <c r="G69" s="18">
        <v>5000</v>
      </c>
    </row>
    <row r="70" spans="2:7" customFormat="1" ht="15" x14ac:dyDescent="0.2">
      <c r="B70" s="25">
        <v>0</v>
      </c>
      <c r="C70" s="25">
        <v>1999</v>
      </c>
      <c r="D70" s="34">
        <v>0</v>
      </c>
      <c r="E70" s="2"/>
      <c r="F70" s="14" t="s">
        <v>471</v>
      </c>
      <c r="G70" s="35">
        <f>_xlfn.XLOOKUP(G69,B69:B74,D69:D74,,-1)</f>
        <v>500</v>
      </c>
    </row>
    <row r="71" spans="2:7" customFormat="1" x14ac:dyDescent="0.2">
      <c r="B71" s="25">
        <v>2000</v>
      </c>
      <c r="C71" s="25">
        <v>4999</v>
      </c>
      <c r="D71" s="34">
        <v>200</v>
      </c>
      <c r="E71" s="2"/>
      <c r="F71" s="2"/>
      <c r="G71" s="2"/>
    </row>
    <row r="72" spans="2:7" customFormat="1" x14ac:dyDescent="0.2">
      <c r="B72" s="25">
        <v>5000</v>
      </c>
      <c r="C72" s="25">
        <v>9999</v>
      </c>
      <c r="D72" s="34">
        <v>500</v>
      </c>
      <c r="E72" s="2"/>
      <c r="F72" s="2"/>
      <c r="G72" s="2"/>
    </row>
    <row r="73" spans="2:7" customFormat="1" x14ac:dyDescent="0.2">
      <c r="B73" s="25">
        <v>10000</v>
      </c>
      <c r="C73" s="25">
        <v>19999</v>
      </c>
      <c r="D73" s="34">
        <v>1000</v>
      </c>
      <c r="E73" s="2"/>
      <c r="F73" s="2"/>
      <c r="G73" s="2"/>
    </row>
    <row r="74" spans="2:7" customFormat="1" x14ac:dyDescent="0.2">
      <c r="B74" s="25">
        <v>20000</v>
      </c>
      <c r="C74" s="25">
        <v>35000</v>
      </c>
      <c r="D74" s="34">
        <v>2000</v>
      </c>
      <c r="E74" s="2"/>
      <c r="F74" s="2"/>
      <c r="G74" s="2"/>
    </row>
    <row r="78" spans="2:7" customFormat="1" ht="15" x14ac:dyDescent="0.25">
      <c r="B78" s="28" t="s">
        <v>472</v>
      </c>
    </row>
    <row r="79" spans="2:7" customFormat="1" x14ac:dyDescent="0.2">
      <c r="B79" t="s">
        <v>473</v>
      </c>
    </row>
    <row r="80" spans="2:7" customFormat="1" x14ac:dyDescent="0.2"/>
    <row r="81" spans="2:10" customFormat="1" x14ac:dyDescent="0.2"/>
    <row r="82" spans="2:10" customFormat="1" x14ac:dyDescent="0.2"/>
    <row r="83" spans="2:10" customFormat="1" x14ac:dyDescent="0.2"/>
    <row r="84" spans="2:10" customFormat="1" ht="15" x14ac:dyDescent="0.2">
      <c r="B84" s="14" t="s">
        <v>474</v>
      </c>
      <c r="C84" s="14" t="s">
        <v>490</v>
      </c>
      <c r="D84" s="14" t="s">
        <v>491</v>
      </c>
      <c r="E84" s="14" t="s">
        <v>500</v>
      </c>
      <c r="F84" s="14" t="s">
        <v>501</v>
      </c>
      <c r="H84" s="14" t="s">
        <v>474</v>
      </c>
      <c r="I84" s="14" t="s">
        <v>500</v>
      </c>
      <c r="J84" s="14" t="s">
        <v>501</v>
      </c>
    </row>
    <row r="85" spans="2:10" customFormat="1" x14ac:dyDescent="0.2">
      <c r="B85" s="31" t="s">
        <v>475</v>
      </c>
      <c r="C85" s="31">
        <v>2014</v>
      </c>
      <c r="D85" s="31" t="s">
        <v>492</v>
      </c>
      <c r="E85" s="17" t="str">
        <f>_xlfn.XLOOKUP($B85,$H$84:$H$99,I$84:I$99)</f>
        <v>Yakima</v>
      </c>
      <c r="F85" s="17" t="str">
        <f>_xlfn.XLOOKUP($B85,$H$84:$H$99,J$84:J$99)</f>
        <v>Yakima</v>
      </c>
      <c r="H85" s="31" t="s">
        <v>475</v>
      </c>
      <c r="I85" s="31" t="s">
        <v>502</v>
      </c>
      <c r="J85" s="31" t="s">
        <v>502</v>
      </c>
    </row>
    <row r="86" spans="2:10" customFormat="1" x14ac:dyDescent="0.2">
      <c r="B86" s="31" t="s">
        <v>476</v>
      </c>
      <c r="C86" s="31">
        <v>2017</v>
      </c>
      <c r="D86" s="31" t="s">
        <v>493</v>
      </c>
      <c r="E86" s="17" t="str">
        <f t="shared" ref="E86:E99" si="1">_xlfn.XLOOKUP($B86,$H$84:$H$99,I$84:I$99)</f>
        <v>Thurston</v>
      </c>
      <c r="F86" s="17" t="str">
        <f>_xlfn.XLOOKUP($B86,$H$84:$H$99,J$84:J$99)</f>
        <v>Olympia</v>
      </c>
      <c r="H86" s="31" t="s">
        <v>476</v>
      </c>
      <c r="I86" s="31" t="s">
        <v>503</v>
      </c>
      <c r="J86" s="31" t="s">
        <v>504</v>
      </c>
    </row>
    <row r="87" spans="2:10" customFormat="1" x14ac:dyDescent="0.2">
      <c r="B87" s="31" t="s">
        <v>477</v>
      </c>
      <c r="C87" s="31">
        <v>2023</v>
      </c>
      <c r="D87" s="31" t="s">
        <v>494</v>
      </c>
      <c r="E87" s="17" t="str">
        <f t="shared" si="1"/>
        <v>King</v>
      </c>
      <c r="F87" s="17" t="str">
        <f t="shared" ref="F86:F99" si="2">_xlfn.XLOOKUP($B87,$H$84:$H$99,J$84:J$99)</f>
        <v>Renton</v>
      </c>
      <c r="H87" s="31" t="s">
        <v>477</v>
      </c>
      <c r="I87" s="31" t="s">
        <v>505</v>
      </c>
      <c r="J87" s="31" t="s">
        <v>506</v>
      </c>
    </row>
    <row r="88" spans="2:10" customFormat="1" x14ac:dyDescent="0.2">
      <c r="B88" s="31" t="s">
        <v>478</v>
      </c>
      <c r="C88" s="31">
        <v>2023</v>
      </c>
      <c r="D88" s="31" t="s">
        <v>495</v>
      </c>
      <c r="E88" s="17" t="str">
        <f t="shared" si="1"/>
        <v>Snohomish</v>
      </c>
      <c r="F88" s="17" t="str">
        <f t="shared" si="2"/>
        <v>Bothell</v>
      </c>
      <c r="H88" s="31" t="s">
        <v>478</v>
      </c>
      <c r="I88" s="31" t="s">
        <v>507</v>
      </c>
      <c r="J88" s="31" t="s">
        <v>508</v>
      </c>
    </row>
    <row r="89" spans="2:10" customFormat="1" x14ac:dyDescent="0.2">
      <c r="B89" s="31" t="s">
        <v>479</v>
      </c>
      <c r="C89" s="31">
        <v>2020</v>
      </c>
      <c r="D89" s="31" t="s">
        <v>493</v>
      </c>
      <c r="E89" s="17" t="str">
        <f t="shared" si="1"/>
        <v>King</v>
      </c>
      <c r="F89" s="17" t="str">
        <f t="shared" si="2"/>
        <v>Kent</v>
      </c>
      <c r="H89" s="31" t="s">
        <v>479</v>
      </c>
      <c r="I89" s="31" t="s">
        <v>505</v>
      </c>
      <c r="J89" s="31" t="s">
        <v>509</v>
      </c>
    </row>
    <row r="90" spans="2:10" customFormat="1" x14ac:dyDescent="0.2">
      <c r="B90" s="31" t="s">
        <v>480</v>
      </c>
      <c r="C90" s="31">
        <v>2024</v>
      </c>
      <c r="D90" s="31" t="s">
        <v>494</v>
      </c>
      <c r="E90" s="17" t="str">
        <f t="shared" si="1"/>
        <v>Kitsap</v>
      </c>
      <c r="F90" s="17" t="str">
        <f t="shared" si="2"/>
        <v>Poulsbo</v>
      </c>
      <c r="H90" s="31" t="s">
        <v>480</v>
      </c>
      <c r="I90" s="31" t="s">
        <v>510</v>
      </c>
      <c r="J90" s="31" t="s">
        <v>511</v>
      </c>
    </row>
    <row r="91" spans="2:10" customFormat="1" x14ac:dyDescent="0.2">
      <c r="B91" s="31" t="s">
        <v>481</v>
      </c>
      <c r="C91" s="31">
        <v>2018</v>
      </c>
      <c r="D91" s="31" t="s">
        <v>496</v>
      </c>
      <c r="E91" s="17" t="str">
        <f t="shared" si="1"/>
        <v>Kitsap</v>
      </c>
      <c r="F91" s="17" t="str">
        <f t="shared" si="2"/>
        <v>Port Orchard</v>
      </c>
      <c r="H91" s="31" t="s">
        <v>481</v>
      </c>
      <c r="I91" s="31" t="s">
        <v>510</v>
      </c>
      <c r="J91" s="31" t="s">
        <v>512</v>
      </c>
    </row>
    <row r="92" spans="2:10" customFormat="1" x14ac:dyDescent="0.2">
      <c r="B92" s="31" t="s">
        <v>482</v>
      </c>
      <c r="C92" s="31">
        <v>2017</v>
      </c>
      <c r="D92" s="31" t="s">
        <v>497</v>
      </c>
      <c r="E92" s="17" t="str">
        <f t="shared" si="1"/>
        <v>Kitsap</v>
      </c>
      <c r="F92" s="17" t="str">
        <f t="shared" si="2"/>
        <v>Poulsbo</v>
      </c>
      <c r="H92" s="31" t="s">
        <v>482</v>
      </c>
      <c r="I92" s="31" t="s">
        <v>510</v>
      </c>
      <c r="J92" s="31" t="s">
        <v>511</v>
      </c>
    </row>
    <row r="93" spans="2:10" customFormat="1" x14ac:dyDescent="0.2">
      <c r="B93" s="31" t="s">
        <v>483</v>
      </c>
      <c r="C93" s="31">
        <v>2018</v>
      </c>
      <c r="D93" s="31" t="s">
        <v>493</v>
      </c>
      <c r="E93" s="17" t="str">
        <f t="shared" si="1"/>
        <v>Kitsap</v>
      </c>
      <c r="F93" s="17" t="str">
        <f t="shared" si="2"/>
        <v>Port Orchard</v>
      </c>
      <c r="H93" s="31" t="s">
        <v>483</v>
      </c>
      <c r="I93" s="31" t="s">
        <v>510</v>
      </c>
      <c r="J93" s="31" t="s">
        <v>512</v>
      </c>
    </row>
    <row r="94" spans="2:10" customFormat="1" x14ac:dyDescent="0.2">
      <c r="B94" s="31" t="s">
        <v>484</v>
      </c>
      <c r="C94" s="31">
        <v>2018</v>
      </c>
      <c r="D94" s="31" t="s">
        <v>494</v>
      </c>
      <c r="E94" s="17" t="str">
        <f t="shared" si="1"/>
        <v>King</v>
      </c>
      <c r="F94" s="17" t="str">
        <f t="shared" si="2"/>
        <v>Duvall</v>
      </c>
      <c r="H94" s="31" t="s">
        <v>484</v>
      </c>
      <c r="I94" s="31" t="s">
        <v>505</v>
      </c>
      <c r="J94" s="31" t="s">
        <v>513</v>
      </c>
    </row>
    <row r="95" spans="2:10" customFormat="1" x14ac:dyDescent="0.2">
      <c r="B95" s="31" t="s">
        <v>485</v>
      </c>
      <c r="C95" s="31">
        <v>2023</v>
      </c>
      <c r="D95" s="31" t="s">
        <v>493</v>
      </c>
      <c r="E95" s="17" t="str">
        <f t="shared" si="1"/>
        <v>Thurston</v>
      </c>
      <c r="F95" s="17" t="str">
        <f t="shared" si="2"/>
        <v>Olympia</v>
      </c>
      <c r="H95" s="31" t="s">
        <v>485</v>
      </c>
      <c r="I95" s="31" t="s">
        <v>503</v>
      </c>
      <c r="J95" s="31" t="s">
        <v>504</v>
      </c>
    </row>
    <row r="96" spans="2:10" customFormat="1" x14ac:dyDescent="0.2">
      <c r="B96" s="31" t="s">
        <v>486</v>
      </c>
      <c r="C96" s="31">
        <v>2019</v>
      </c>
      <c r="D96" s="31" t="s">
        <v>498</v>
      </c>
      <c r="E96" s="17" t="str">
        <f t="shared" si="1"/>
        <v>King</v>
      </c>
      <c r="F96" s="17" t="str">
        <f t="shared" si="2"/>
        <v>Bellevue</v>
      </c>
      <c r="H96" s="31" t="s">
        <v>486</v>
      </c>
      <c r="I96" s="31" t="s">
        <v>505</v>
      </c>
      <c r="J96" s="31" t="s">
        <v>514</v>
      </c>
    </row>
    <row r="97" spans="2:10" customFormat="1" x14ac:dyDescent="0.2">
      <c r="B97" s="31" t="s">
        <v>487</v>
      </c>
      <c r="C97" s="31">
        <v>2020</v>
      </c>
      <c r="D97" s="31" t="s">
        <v>493</v>
      </c>
      <c r="E97" s="17" t="str">
        <f t="shared" si="1"/>
        <v>King</v>
      </c>
      <c r="F97" s="17" t="str">
        <f t="shared" si="2"/>
        <v>Seattle</v>
      </c>
      <c r="H97" s="31" t="s">
        <v>487</v>
      </c>
      <c r="I97" s="31" t="s">
        <v>505</v>
      </c>
      <c r="J97" s="31" t="s">
        <v>515</v>
      </c>
    </row>
    <row r="98" spans="2:10" customFormat="1" x14ac:dyDescent="0.2">
      <c r="B98" s="31" t="s">
        <v>488</v>
      </c>
      <c r="C98" s="31">
        <v>2020</v>
      </c>
      <c r="D98" s="31" t="s">
        <v>499</v>
      </c>
      <c r="E98" s="17" t="str">
        <f t="shared" si="1"/>
        <v>Kitsap</v>
      </c>
      <c r="F98" s="17" t="str">
        <f t="shared" si="2"/>
        <v>Bremerton</v>
      </c>
      <c r="H98" s="31" t="s">
        <v>488</v>
      </c>
      <c r="I98" s="31" t="s">
        <v>510</v>
      </c>
      <c r="J98" s="31" t="s">
        <v>516</v>
      </c>
    </row>
    <row r="99" spans="2:10" customFormat="1" x14ac:dyDescent="0.2">
      <c r="B99" s="31" t="s">
        <v>489</v>
      </c>
      <c r="C99" s="31">
        <v>2016</v>
      </c>
      <c r="D99" s="31" t="s">
        <v>494</v>
      </c>
      <c r="E99" s="17" t="str">
        <f t="shared" si="1"/>
        <v>King</v>
      </c>
      <c r="F99" s="17" t="str">
        <f t="shared" si="2"/>
        <v>Seattle</v>
      </c>
      <c r="H99" s="31" t="s">
        <v>489</v>
      </c>
      <c r="I99" s="31" t="s">
        <v>505</v>
      </c>
      <c r="J99" s="31" t="s">
        <v>515</v>
      </c>
    </row>
    <row r="100" spans="2:10" customFormat="1" x14ac:dyDescent="0.2"/>
    <row r="101" spans="2:10" customFormat="1" x14ac:dyDescent="0.2"/>
    <row r="102" spans="2:10" customFormat="1" x14ac:dyDescent="0.2"/>
    <row r="103" spans="2:10" customFormat="1" x14ac:dyDescent="0.2"/>
    <row r="104" spans="2:10" customFormat="1" x14ac:dyDescent="0.2"/>
    <row r="105" spans="2:10" customFormat="1" x14ac:dyDescent="0.2"/>
    <row r="106" spans="2:10" customFormat="1" x14ac:dyDescent="0.2"/>
    <row r="107" spans="2:10" customFormat="1" x14ac:dyDescent="0.2"/>
    <row r="108" spans="2:10" customFormat="1" x14ac:dyDescent="0.2"/>
    <row r="109" spans="2:10" customFormat="1" x14ac:dyDescent="0.2"/>
    <row r="110" spans="2:10" customFormat="1" x14ac:dyDescent="0.2"/>
    <row r="111" spans="2:10" customFormat="1" x14ac:dyDescent="0.2"/>
    <row r="112" spans="2:10"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spans="2:15" customFormat="1" x14ac:dyDescent="0.2"/>
    <row r="162" spans="2:15" customFormat="1" x14ac:dyDescent="0.2"/>
    <row r="163" spans="2:15" customFormat="1" x14ac:dyDescent="0.2"/>
    <row r="164" spans="2:15" customFormat="1" x14ac:dyDescent="0.2"/>
    <row r="165" spans="2:15" customFormat="1" x14ac:dyDescent="0.2"/>
    <row r="166" spans="2:15" x14ac:dyDescent="0.2">
      <c r="B166"/>
      <c r="C166"/>
      <c r="D166"/>
      <c r="E166"/>
      <c r="F166"/>
      <c r="G166"/>
      <c r="H166"/>
      <c r="I166"/>
      <c r="J166"/>
      <c r="K166"/>
      <c r="L166"/>
      <c r="M166"/>
      <c r="N166"/>
      <c r="O166"/>
    </row>
    <row r="167" spans="2:15" x14ac:dyDescent="0.2">
      <c r="B167"/>
      <c r="C167"/>
      <c r="D167"/>
      <c r="E167"/>
      <c r="F167"/>
      <c r="G167"/>
      <c r="H167"/>
      <c r="I167"/>
      <c r="J167"/>
      <c r="K167"/>
      <c r="L167"/>
      <c r="M167"/>
      <c r="N167"/>
      <c r="O167"/>
    </row>
    <row r="168" spans="2:15" x14ac:dyDescent="0.2">
      <c r="B168"/>
      <c r="C168"/>
      <c r="D168"/>
      <c r="E168"/>
      <c r="F168"/>
      <c r="G168"/>
      <c r="H168"/>
      <c r="I168"/>
      <c r="J168"/>
      <c r="K168"/>
      <c r="L168"/>
      <c r="M168"/>
      <c r="N168"/>
      <c r="O168"/>
    </row>
    <row r="169" spans="2:15" x14ac:dyDescent="0.2">
      <c r="B169"/>
      <c r="C169"/>
      <c r="D169"/>
      <c r="E169"/>
      <c r="F169"/>
      <c r="G169"/>
      <c r="H169"/>
      <c r="I169"/>
      <c r="J169"/>
      <c r="K169"/>
      <c r="L169"/>
      <c r="M169"/>
      <c r="N169"/>
      <c r="O169"/>
    </row>
    <row r="170" spans="2:15" x14ac:dyDescent="0.2">
      <c r="B170"/>
      <c r="C170"/>
      <c r="D170"/>
      <c r="E170"/>
      <c r="F170"/>
      <c r="G170"/>
      <c r="H170"/>
      <c r="I170"/>
      <c r="J170"/>
      <c r="K170"/>
      <c r="L170"/>
      <c r="M170"/>
      <c r="N170"/>
      <c r="O170"/>
    </row>
    <row r="171" spans="2:15" x14ac:dyDescent="0.2">
      <c r="B171"/>
      <c r="C171"/>
      <c r="D171"/>
      <c r="E171"/>
      <c r="F171"/>
      <c r="G171"/>
      <c r="H171"/>
      <c r="I171"/>
      <c r="J171"/>
      <c r="K171"/>
      <c r="L171"/>
      <c r="M171"/>
      <c r="N171"/>
      <c r="O171"/>
    </row>
    <row r="172" spans="2:15" x14ac:dyDescent="0.2">
      <c r="B172"/>
      <c r="C172"/>
      <c r="D172"/>
      <c r="E172"/>
      <c r="F172"/>
      <c r="G172"/>
      <c r="H172"/>
      <c r="I172"/>
      <c r="J172"/>
      <c r="K172"/>
      <c r="L172"/>
      <c r="M172"/>
      <c r="N172"/>
      <c r="O172"/>
    </row>
    <row r="173" spans="2:15" x14ac:dyDescent="0.2">
      <c r="B173"/>
      <c r="C173"/>
      <c r="D173"/>
      <c r="E173"/>
      <c r="F173"/>
      <c r="G173"/>
      <c r="H173"/>
      <c r="I173"/>
      <c r="J173"/>
      <c r="K173"/>
      <c r="L173"/>
      <c r="M173"/>
      <c r="N173"/>
      <c r="O173"/>
    </row>
    <row r="174" spans="2:15" x14ac:dyDescent="0.2">
      <c r="B174"/>
      <c r="C174"/>
      <c r="D174"/>
      <c r="E174"/>
      <c r="F174"/>
      <c r="G174"/>
      <c r="H174"/>
      <c r="I174"/>
      <c r="J174"/>
      <c r="K174"/>
      <c r="L174"/>
      <c r="M174"/>
      <c r="N174"/>
      <c r="O174"/>
    </row>
    <row r="175" spans="2:15" x14ac:dyDescent="0.2">
      <c r="B175"/>
      <c r="C175"/>
      <c r="D175"/>
      <c r="E175"/>
      <c r="F175"/>
      <c r="G175"/>
      <c r="H175"/>
      <c r="I175"/>
      <c r="J175"/>
      <c r="K175"/>
      <c r="L175"/>
      <c r="M175"/>
      <c r="N175"/>
      <c r="O175"/>
    </row>
    <row r="176" spans="2:15" x14ac:dyDescent="0.2">
      <c r="B176"/>
      <c r="C176"/>
      <c r="D176"/>
      <c r="E176"/>
      <c r="F176"/>
      <c r="G176"/>
      <c r="H176"/>
      <c r="I176"/>
      <c r="J176"/>
      <c r="K176"/>
      <c r="L176"/>
      <c r="M176"/>
      <c r="N176"/>
      <c r="O176"/>
    </row>
    <row r="177" spans="2:15" x14ac:dyDescent="0.2">
      <c r="B177"/>
      <c r="C177"/>
      <c r="D177"/>
      <c r="E177"/>
      <c r="F177"/>
      <c r="G177"/>
      <c r="H177"/>
      <c r="I177"/>
      <c r="J177"/>
      <c r="K177"/>
      <c r="L177"/>
      <c r="M177"/>
      <c r="N177"/>
      <c r="O177"/>
    </row>
    <row r="178" spans="2:15" x14ac:dyDescent="0.2">
      <c r="B178"/>
      <c r="C178"/>
      <c r="D178"/>
      <c r="E178"/>
      <c r="F178"/>
      <c r="G178"/>
      <c r="H178"/>
      <c r="I178"/>
      <c r="J178"/>
      <c r="K178"/>
      <c r="L178"/>
      <c r="M178"/>
      <c r="N178"/>
      <c r="O178"/>
    </row>
    <row r="179" spans="2:15" x14ac:dyDescent="0.2">
      <c r="B179"/>
      <c r="C179"/>
      <c r="D179"/>
      <c r="E179"/>
      <c r="F179"/>
      <c r="G179"/>
      <c r="H179"/>
      <c r="I179"/>
      <c r="J179"/>
      <c r="K179"/>
      <c r="L179"/>
      <c r="M179"/>
      <c r="N179"/>
      <c r="O179"/>
    </row>
    <row r="180" spans="2:15" x14ac:dyDescent="0.2">
      <c r="B180"/>
      <c r="C180"/>
      <c r="D180"/>
      <c r="E180"/>
      <c r="F180"/>
      <c r="G180"/>
      <c r="H180"/>
      <c r="I180"/>
      <c r="J180"/>
      <c r="K180"/>
      <c r="L180"/>
      <c r="M180"/>
      <c r="N180"/>
      <c r="O180"/>
    </row>
    <row r="181" spans="2:15" x14ac:dyDescent="0.2">
      <c r="B181"/>
      <c r="C181"/>
      <c r="D181"/>
      <c r="E181"/>
      <c r="F181"/>
      <c r="G181"/>
      <c r="H181"/>
      <c r="I181"/>
      <c r="J181"/>
      <c r="K181"/>
      <c r="L181"/>
      <c r="M181"/>
      <c r="N181"/>
      <c r="O181"/>
    </row>
    <row r="182" spans="2:15" x14ac:dyDescent="0.2">
      <c r="B182"/>
      <c r="C182"/>
      <c r="D182"/>
      <c r="E182"/>
      <c r="F182"/>
      <c r="G182"/>
      <c r="H182"/>
      <c r="I182"/>
      <c r="J182"/>
      <c r="K182"/>
      <c r="L182"/>
      <c r="M182"/>
      <c r="N182"/>
      <c r="O182"/>
    </row>
    <row r="183" spans="2:15" x14ac:dyDescent="0.2">
      <c r="B183"/>
    </row>
  </sheetData>
  <dataValidations count="2">
    <dataValidation type="list" allowBlank="1" showInputMessage="1" showErrorMessage="1" sqref="I23" xr:uid="{9778B79F-F8CE-4B06-80E7-D302A3D7DC83}">
      <formula1>$B$24:$B$39</formula1>
    </dataValidation>
    <dataValidation type="list" allowBlank="1" showInputMessage="1" showErrorMessage="1" sqref="I24" xr:uid="{EE1567C4-BB29-46E0-B243-E3089E4284F4}">
      <formula1>$C$23:$F$23</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5EE5-D82B-43D3-9BEA-B2D8E0DD7A77}">
  <dimension ref="B1:M186"/>
  <sheetViews>
    <sheetView showGridLines="0" topLeftCell="B1" zoomScale="90" zoomScaleNormal="90" workbookViewId="0">
      <pane ySplit="3" topLeftCell="A148" activePane="bottomLeft" state="frozen"/>
      <selection pane="bottomLeft" activeCell="F174" sqref="F174"/>
    </sheetView>
  </sheetViews>
  <sheetFormatPr baseColWidth="10" defaultColWidth="11.5" defaultRowHeight="14.25" outlineLevelRow="1" x14ac:dyDescent="0.2"/>
  <cols>
    <col min="1" max="1" width="1.5" style="2" customWidth="1"/>
    <col min="2" max="2" width="17.5" style="2" customWidth="1"/>
    <col min="3" max="3" width="16.25" style="2" bestFit="1" customWidth="1"/>
    <col min="4" max="4" width="13" style="2" bestFit="1" customWidth="1"/>
    <col min="5" max="5" width="15.5" style="2" bestFit="1" customWidth="1"/>
    <col min="6" max="6" width="13.875" style="2" bestFit="1" customWidth="1"/>
    <col min="7" max="7" width="12.75" style="2" bestFit="1" customWidth="1"/>
    <col min="8" max="8" width="9.75" style="2" bestFit="1" customWidth="1"/>
    <col min="9" max="9" width="13.5" style="2" customWidth="1"/>
    <col min="10" max="10" width="12" style="2" bestFit="1" customWidth="1"/>
    <col min="11" max="11" width="5.75" style="2" bestFit="1" customWidth="1"/>
    <col min="12" max="12" width="8.25" style="2" bestFit="1" customWidth="1"/>
    <col min="13" max="13" width="28.75" style="2" bestFit="1" customWidth="1"/>
    <col min="14" max="16384" width="11.5" style="2"/>
  </cols>
  <sheetData>
    <row r="1" outlineLevel="1" x14ac:dyDescent="0.2"/>
    <row r="2" outlineLevel="1" x14ac:dyDescent="0.2"/>
    <row r="3" outlineLevel="1" x14ac:dyDescent="0.2"/>
    <row r="4" outlineLevel="1" x14ac:dyDescent="0.2"/>
    <row r="5" outlineLevel="1" x14ac:dyDescent="0.2"/>
    <row r="6" outlineLevel="1" x14ac:dyDescent="0.2"/>
    <row r="7" outlineLevel="1" x14ac:dyDescent="0.2"/>
    <row r="8" outlineLevel="1" x14ac:dyDescent="0.2"/>
    <row r="9" outlineLevel="1" x14ac:dyDescent="0.2"/>
    <row r="10" outlineLevel="1" x14ac:dyDescent="0.2"/>
    <row r="11" outlineLevel="1" x14ac:dyDescent="0.2"/>
    <row r="12" outlineLevel="1" x14ac:dyDescent="0.2"/>
    <row r="13" outlineLevel="1" x14ac:dyDescent="0.2"/>
    <row r="14" outlineLevel="1" x14ac:dyDescent="0.2"/>
    <row r="15" outlineLevel="1" x14ac:dyDescent="0.2"/>
    <row r="16" outlineLevel="1" x14ac:dyDescent="0.2"/>
    <row r="17" spans="2:10" outlineLevel="1" x14ac:dyDescent="0.2"/>
    <row r="18" spans="2:10" outlineLevel="1" x14ac:dyDescent="0.2"/>
    <row r="19" spans="2:10" outlineLevel="1" x14ac:dyDescent="0.2"/>
    <row r="20" spans="2:10" ht="15" outlineLevel="1" x14ac:dyDescent="0.25">
      <c r="B20" s="4" t="s">
        <v>1140</v>
      </c>
    </row>
    <row r="21" spans="2:10" ht="15" outlineLevel="1" thickBot="1" x14ac:dyDescent="0.25"/>
    <row r="22" spans="2:10" customFormat="1" ht="15.75" outlineLevel="1" thickBot="1" x14ac:dyDescent="0.3">
      <c r="B22" s="90" t="s">
        <v>1128</v>
      </c>
      <c r="C22" s="90" t="s">
        <v>1108</v>
      </c>
      <c r="D22" s="90" t="s">
        <v>1129</v>
      </c>
      <c r="E22" s="90" t="s">
        <v>1130</v>
      </c>
      <c r="F22" s="90" t="s">
        <v>1131</v>
      </c>
      <c r="G22" s="90" t="s">
        <v>1132</v>
      </c>
      <c r="H22" s="90" t="s">
        <v>1133</v>
      </c>
      <c r="J22" s="10" t="s">
        <v>377</v>
      </c>
    </row>
    <row r="23" spans="2:10" customFormat="1" ht="15" outlineLevel="1" thickBot="1" x14ac:dyDescent="0.25">
      <c r="B23" s="91" t="s">
        <v>1134</v>
      </c>
      <c r="C23" s="91">
        <v>6</v>
      </c>
      <c r="D23" s="92">
        <v>500</v>
      </c>
      <c r="E23" s="92">
        <v>3000</v>
      </c>
      <c r="F23" s="99" t="str">
        <f>IF(E23&gt;$J$24,"Si","No")</f>
        <v>No</v>
      </c>
      <c r="G23" s="99">
        <f>IF(F23="Si",E23*$J$25,0)</f>
        <v>0</v>
      </c>
      <c r="H23" s="112">
        <f>E23-G23</f>
        <v>3000</v>
      </c>
      <c r="J23" s="93" t="s">
        <v>1138</v>
      </c>
    </row>
    <row r="24" spans="2:10" customFormat="1" ht="15" outlineLevel="1" thickBot="1" x14ac:dyDescent="0.25">
      <c r="B24" s="91" t="s">
        <v>1134</v>
      </c>
      <c r="C24" s="91">
        <v>3</v>
      </c>
      <c r="D24" s="92">
        <v>250</v>
      </c>
      <c r="E24" s="92">
        <v>750</v>
      </c>
      <c r="F24" s="99" t="str">
        <f t="shared" ref="F24:F34" si="0">IF(E24&gt;$J$24,"Si","No")</f>
        <v>No</v>
      </c>
      <c r="G24" s="99">
        <f t="shared" ref="G24:G34" si="1">IF(F24="Si",E24*$J$25,0)</f>
        <v>0</v>
      </c>
      <c r="H24" s="112">
        <f t="shared" ref="H24:H34" si="2">E24-G24</f>
        <v>750</v>
      </c>
      <c r="J24" s="94">
        <v>5000</v>
      </c>
    </row>
    <row r="25" spans="2:10" customFormat="1" ht="15" outlineLevel="1" thickBot="1" x14ac:dyDescent="0.25">
      <c r="B25" s="91" t="s">
        <v>1134</v>
      </c>
      <c r="C25" s="91">
        <v>4</v>
      </c>
      <c r="D25" s="92">
        <v>200</v>
      </c>
      <c r="E25" s="92">
        <v>800</v>
      </c>
      <c r="F25" s="99" t="str">
        <f t="shared" si="0"/>
        <v>No</v>
      </c>
      <c r="G25" s="99">
        <f t="shared" si="1"/>
        <v>0</v>
      </c>
      <c r="H25" s="112">
        <f t="shared" si="2"/>
        <v>800</v>
      </c>
      <c r="J25" s="95">
        <v>0.05</v>
      </c>
    </row>
    <row r="26" spans="2:10" customFormat="1" ht="15" outlineLevel="1" thickBot="1" x14ac:dyDescent="0.25">
      <c r="B26" s="91" t="s">
        <v>1135</v>
      </c>
      <c r="C26" s="91">
        <v>9</v>
      </c>
      <c r="D26" s="92">
        <v>600</v>
      </c>
      <c r="E26" s="92">
        <v>5400</v>
      </c>
      <c r="F26" s="99" t="str">
        <f t="shared" si="0"/>
        <v>Si</v>
      </c>
      <c r="G26" s="99">
        <f>IF(F26="Si",E26*$J$25,0)</f>
        <v>270</v>
      </c>
      <c r="H26" s="112">
        <f t="shared" si="2"/>
        <v>5130</v>
      </c>
    </row>
    <row r="27" spans="2:10" customFormat="1" ht="15" outlineLevel="1" thickBot="1" x14ac:dyDescent="0.25">
      <c r="B27" s="91" t="s">
        <v>1135</v>
      </c>
      <c r="C27" s="91">
        <v>6</v>
      </c>
      <c r="D27" s="92">
        <v>1000</v>
      </c>
      <c r="E27" s="92">
        <v>6000</v>
      </c>
      <c r="F27" s="99" t="str">
        <f t="shared" si="0"/>
        <v>Si</v>
      </c>
      <c r="G27" s="99">
        <f t="shared" si="1"/>
        <v>300</v>
      </c>
      <c r="H27" s="112">
        <f t="shared" si="2"/>
        <v>5700</v>
      </c>
    </row>
    <row r="28" spans="2:10" customFormat="1" ht="15" outlineLevel="1" thickBot="1" x14ac:dyDescent="0.25">
      <c r="B28" s="91" t="s">
        <v>1136</v>
      </c>
      <c r="C28" s="91">
        <v>2</v>
      </c>
      <c r="D28" s="92">
        <v>300</v>
      </c>
      <c r="E28" s="92">
        <v>600</v>
      </c>
      <c r="F28" s="99" t="str">
        <f t="shared" si="0"/>
        <v>No</v>
      </c>
      <c r="G28" s="99">
        <f t="shared" si="1"/>
        <v>0</v>
      </c>
      <c r="H28" s="112">
        <f t="shared" si="2"/>
        <v>600</v>
      </c>
    </row>
    <row r="29" spans="2:10" customFormat="1" ht="15" outlineLevel="1" thickBot="1" x14ac:dyDescent="0.25">
      <c r="B29" s="91" t="s">
        <v>1137</v>
      </c>
      <c r="C29" s="91">
        <v>7</v>
      </c>
      <c r="D29" s="92">
        <v>200</v>
      </c>
      <c r="E29" s="92">
        <v>1400</v>
      </c>
      <c r="F29" s="99" t="str">
        <f t="shared" si="0"/>
        <v>No</v>
      </c>
      <c r="G29" s="99">
        <f t="shared" si="1"/>
        <v>0</v>
      </c>
      <c r="H29" s="112">
        <f t="shared" si="2"/>
        <v>1400</v>
      </c>
      <c r="J29" s="2"/>
    </row>
    <row r="30" spans="2:10" customFormat="1" ht="15" outlineLevel="1" thickBot="1" x14ac:dyDescent="0.25">
      <c r="B30" s="91" t="s">
        <v>1136</v>
      </c>
      <c r="C30" s="91">
        <v>6</v>
      </c>
      <c r="D30" s="92">
        <v>600</v>
      </c>
      <c r="E30" s="92">
        <v>3600</v>
      </c>
      <c r="F30" s="99" t="str">
        <f t="shared" si="0"/>
        <v>No</v>
      </c>
      <c r="G30" s="99">
        <f t="shared" si="1"/>
        <v>0</v>
      </c>
      <c r="H30" s="112">
        <f t="shared" si="2"/>
        <v>3600</v>
      </c>
      <c r="J30" s="2"/>
    </row>
    <row r="31" spans="2:10" customFormat="1" ht="15" outlineLevel="1" thickBot="1" x14ac:dyDescent="0.25">
      <c r="B31" s="91" t="s">
        <v>1136</v>
      </c>
      <c r="C31" s="91">
        <v>7</v>
      </c>
      <c r="D31" s="92">
        <v>1000</v>
      </c>
      <c r="E31" s="92">
        <v>7000</v>
      </c>
      <c r="F31" s="99" t="str">
        <f t="shared" si="0"/>
        <v>Si</v>
      </c>
      <c r="G31" s="99">
        <f t="shared" si="1"/>
        <v>350</v>
      </c>
      <c r="H31" s="112">
        <f t="shared" si="2"/>
        <v>6650</v>
      </c>
      <c r="J31" s="2"/>
    </row>
    <row r="32" spans="2:10" customFormat="1" ht="15" outlineLevel="1" thickBot="1" x14ac:dyDescent="0.25">
      <c r="B32" s="91" t="s">
        <v>1135</v>
      </c>
      <c r="C32" s="91">
        <v>8</v>
      </c>
      <c r="D32" s="92">
        <v>500</v>
      </c>
      <c r="E32" s="92">
        <v>4000</v>
      </c>
      <c r="F32" s="99" t="str">
        <f t="shared" si="0"/>
        <v>No</v>
      </c>
      <c r="G32" s="99">
        <f t="shared" si="1"/>
        <v>0</v>
      </c>
      <c r="H32" s="112">
        <f t="shared" si="2"/>
        <v>4000</v>
      </c>
      <c r="J32" s="2"/>
    </row>
    <row r="33" spans="2:11" customFormat="1" ht="15" outlineLevel="1" thickBot="1" x14ac:dyDescent="0.25">
      <c r="B33" s="91" t="s">
        <v>1134</v>
      </c>
      <c r="C33" s="91">
        <v>7</v>
      </c>
      <c r="D33" s="92">
        <v>600</v>
      </c>
      <c r="E33" s="92">
        <v>4200</v>
      </c>
      <c r="F33" s="99" t="str">
        <f t="shared" si="0"/>
        <v>No</v>
      </c>
      <c r="G33" s="99">
        <f t="shared" si="1"/>
        <v>0</v>
      </c>
      <c r="H33" s="112">
        <f t="shared" si="2"/>
        <v>4200</v>
      </c>
    </row>
    <row r="34" spans="2:11" customFormat="1" ht="15" outlineLevel="1" thickBot="1" x14ac:dyDescent="0.25">
      <c r="B34" s="91" t="s">
        <v>1139</v>
      </c>
      <c r="C34" s="91">
        <v>7</v>
      </c>
      <c r="D34" s="92">
        <v>500</v>
      </c>
      <c r="E34" s="92">
        <v>3500</v>
      </c>
      <c r="F34" s="99" t="str">
        <f t="shared" si="0"/>
        <v>No</v>
      </c>
      <c r="G34" s="99">
        <f t="shared" si="1"/>
        <v>0</v>
      </c>
      <c r="H34" s="112">
        <f t="shared" si="2"/>
        <v>3500</v>
      </c>
    </row>
    <row r="35" spans="2:11" customFormat="1" outlineLevel="1" x14ac:dyDescent="0.2"/>
    <row r="36" spans="2:11" customFormat="1" outlineLevel="1" x14ac:dyDescent="0.2"/>
    <row r="37" spans="2:11" customFormat="1" outlineLevel="1" x14ac:dyDescent="0.2"/>
    <row r="38" spans="2:11" customFormat="1" ht="15" outlineLevel="1" x14ac:dyDescent="0.25">
      <c r="B38" s="4" t="s">
        <v>1154</v>
      </c>
    </row>
    <row r="39" spans="2:11" customFormat="1" ht="15" outlineLevel="1" thickBot="1" x14ac:dyDescent="0.25">
      <c r="B39" s="2"/>
    </row>
    <row r="40" spans="2:11" customFormat="1" ht="15.75" outlineLevel="1" thickBot="1" x14ac:dyDescent="0.3">
      <c r="B40" s="96" t="s">
        <v>1141</v>
      </c>
      <c r="C40" s="90" t="s">
        <v>1142</v>
      </c>
      <c r="D40" s="90" t="s">
        <v>744</v>
      </c>
      <c r="E40" s="90" t="s">
        <v>1143</v>
      </c>
      <c r="G40" s="90" t="s">
        <v>1142</v>
      </c>
      <c r="H40" s="90" t="s">
        <v>744</v>
      </c>
      <c r="J40" s="90" t="s">
        <v>1142</v>
      </c>
      <c r="K40" s="90" t="s">
        <v>1205</v>
      </c>
    </row>
    <row r="41" spans="2:11" customFormat="1" ht="15" outlineLevel="1" thickBot="1" x14ac:dyDescent="0.25">
      <c r="B41" s="97" t="s">
        <v>1144</v>
      </c>
      <c r="C41" s="91">
        <v>7.4</v>
      </c>
      <c r="D41" s="99" t="str">
        <f>IF(C41&lt;=6,"Reprobado","Aprobado")</f>
        <v>Aprobado</v>
      </c>
      <c r="E41" s="113">
        <f>IF(C41&lt;=7,"Nulo",IF(C41&lt;8,10%,IF(C41&lt;9,30%,45%)))</f>
        <v>0.1</v>
      </c>
      <c r="G41" s="91" t="s">
        <v>1155</v>
      </c>
      <c r="H41" s="91" t="s">
        <v>1147</v>
      </c>
      <c r="J41" s="91" t="s">
        <v>1158</v>
      </c>
      <c r="K41" s="91" t="s">
        <v>1157</v>
      </c>
    </row>
    <row r="42" spans="2:11" customFormat="1" ht="15" outlineLevel="1" thickBot="1" x14ac:dyDescent="0.25">
      <c r="B42" s="97" t="s">
        <v>1146</v>
      </c>
      <c r="C42" s="91">
        <v>5.8</v>
      </c>
      <c r="D42" s="99" t="str">
        <f t="shared" ref="D42:D48" si="3">IF(C42&lt;=6,"Reprobado","Aprobado")</f>
        <v>Reprobado</v>
      </c>
      <c r="E42" s="113" t="str">
        <f>IF(C42&lt;=7,"Nulo",IF(C42&gt;7,10%,IF(C42&lt;9,30%,45%)))</f>
        <v>Nulo</v>
      </c>
      <c r="G42" s="91" t="s">
        <v>1156</v>
      </c>
      <c r="H42" s="91" t="s">
        <v>1145</v>
      </c>
      <c r="J42" s="91" t="s">
        <v>1159</v>
      </c>
      <c r="K42" s="98">
        <v>0.1</v>
      </c>
    </row>
    <row r="43" spans="2:11" customFormat="1" ht="15" outlineLevel="1" thickBot="1" x14ac:dyDescent="0.25">
      <c r="B43" s="97" t="s">
        <v>1148</v>
      </c>
      <c r="C43" s="91">
        <v>7.2</v>
      </c>
      <c r="D43" s="99" t="str">
        <f t="shared" si="3"/>
        <v>Aprobado</v>
      </c>
      <c r="E43" s="113">
        <f t="shared" ref="E42:E48" si="4">IF(C43&lt;=7,"Nulo",IF(C43&gt;7,10%,IF(C43&lt;9,30%,45%)))</f>
        <v>0.1</v>
      </c>
      <c r="J43" s="91" t="s">
        <v>1160</v>
      </c>
      <c r="K43" s="98">
        <v>0.3</v>
      </c>
    </row>
    <row r="44" spans="2:11" customFormat="1" ht="15" outlineLevel="1" thickBot="1" x14ac:dyDescent="0.25">
      <c r="B44" s="91" t="s">
        <v>1149</v>
      </c>
      <c r="C44" s="91">
        <v>8.8000000000000007</v>
      </c>
      <c r="D44" s="99" t="str">
        <f t="shared" si="3"/>
        <v>Aprobado</v>
      </c>
      <c r="E44" s="113">
        <f t="shared" si="4"/>
        <v>0.1</v>
      </c>
      <c r="J44" s="91" t="s">
        <v>1161</v>
      </c>
      <c r="K44" s="98">
        <v>0.45</v>
      </c>
    </row>
    <row r="45" spans="2:11" customFormat="1" ht="15" outlineLevel="1" thickBot="1" x14ac:dyDescent="0.25">
      <c r="B45" s="91" t="s">
        <v>1150</v>
      </c>
      <c r="C45" s="91">
        <v>9.6</v>
      </c>
      <c r="D45" s="99" t="str">
        <f t="shared" si="3"/>
        <v>Aprobado</v>
      </c>
      <c r="E45" s="113">
        <f t="shared" si="4"/>
        <v>0.1</v>
      </c>
    </row>
    <row r="46" spans="2:11" customFormat="1" ht="15" outlineLevel="1" thickBot="1" x14ac:dyDescent="0.25">
      <c r="B46" s="91" t="s">
        <v>1151</v>
      </c>
      <c r="C46" s="91">
        <v>8.6999999999999993</v>
      </c>
      <c r="D46" s="99" t="str">
        <f t="shared" si="3"/>
        <v>Aprobado</v>
      </c>
      <c r="E46" s="113">
        <f t="shared" si="4"/>
        <v>0.1</v>
      </c>
    </row>
    <row r="47" spans="2:11" customFormat="1" ht="15" outlineLevel="1" thickBot="1" x14ac:dyDescent="0.25">
      <c r="B47" s="91" t="s">
        <v>1152</v>
      </c>
      <c r="C47" s="91">
        <v>4.3</v>
      </c>
      <c r="D47" s="99" t="str">
        <f t="shared" si="3"/>
        <v>Reprobado</v>
      </c>
      <c r="E47" s="113" t="str">
        <f t="shared" si="4"/>
        <v>Nulo</v>
      </c>
    </row>
    <row r="48" spans="2:11" customFormat="1" ht="15" outlineLevel="1" thickBot="1" x14ac:dyDescent="0.25">
      <c r="B48" s="91" t="s">
        <v>1153</v>
      </c>
      <c r="C48" s="91">
        <v>8.5</v>
      </c>
      <c r="D48" s="99" t="str">
        <f t="shared" si="3"/>
        <v>Aprobado</v>
      </c>
      <c r="E48" s="113">
        <f t="shared" si="4"/>
        <v>0.1</v>
      </c>
    </row>
    <row r="49" spans="2:7" customFormat="1" outlineLevel="1" x14ac:dyDescent="0.2"/>
    <row r="50" spans="2:7" customFormat="1" outlineLevel="1" x14ac:dyDescent="0.2"/>
    <row r="51" spans="2:7" customFormat="1" outlineLevel="1" x14ac:dyDescent="0.2"/>
    <row r="52" spans="2:7" customFormat="1" outlineLevel="1" x14ac:dyDescent="0.2"/>
    <row r="53" spans="2:7" customFormat="1" outlineLevel="1" x14ac:dyDescent="0.2"/>
    <row r="54" spans="2:7" customFormat="1" outlineLevel="1" x14ac:dyDescent="0.2"/>
    <row r="55" spans="2:7" customFormat="1" outlineLevel="1" x14ac:dyDescent="0.2"/>
    <row r="56" spans="2:7" customFormat="1" outlineLevel="1" x14ac:dyDescent="0.2"/>
    <row r="57" spans="2:7" customFormat="1" outlineLevel="1" x14ac:dyDescent="0.2"/>
    <row r="58" spans="2:7" customFormat="1" outlineLevel="1" x14ac:dyDescent="0.2"/>
    <row r="59" spans="2:7" customFormat="1" outlineLevel="1" x14ac:dyDescent="0.2"/>
    <row r="60" spans="2:7" customFormat="1" outlineLevel="1" x14ac:dyDescent="0.2"/>
    <row r="61" spans="2:7" customFormat="1" ht="15" outlineLevel="1" x14ac:dyDescent="0.25">
      <c r="B61" s="4" t="s">
        <v>1167</v>
      </c>
    </row>
    <row r="62" spans="2:7" customFormat="1" ht="15" outlineLevel="1" thickBot="1" x14ac:dyDescent="0.25"/>
    <row r="63" spans="2:7" customFormat="1" ht="17.25" outlineLevel="1" thickBot="1" x14ac:dyDescent="0.35">
      <c r="B63" s="100" t="s">
        <v>550</v>
      </c>
      <c r="C63" s="104">
        <v>50000</v>
      </c>
      <c r="D63" s="59"/>
      <c r="E63" s="59"/>
      <c r="F63" s="59"/>
      <c r="G63" s="59"/>
    </row>
    <row r="64" spans="2:7" customFormat="1" ht="17.25" outlineLevel="1" thickBot="1" x14ac:dyDescent="0.35">
      <c r="B64" s="59"/>
      <c r="C64" s="59"/>
      <c r="D64" s="59"/>
      <c r="E64" s="59"/>
      <c r="F64" s="59"/>
      <c r="G64" s="59"/>
    </row>
    <row r="65" spans="2:13" customFormat="1" ht="17.25" outlineLevel="1" thickBot="1" x14ac:dyDescent="0.35">
      <c r="B65" s="119" t="s">
        <v>1162</v>
      </c>
      <c r="C65" s="119"/>
      <c r="D65" s="119"/>
      <c r="E65" s="59"/>
      <c r="F65" s="100" t="s">
        <v>1163</v>
      </c>
      <c r="G65" s="105">
        <f>IF(C63&gt;C67,D67,IF(C63&gt;C68,D68,D69))</f>
        <v>0.08</v>
      </c>
      <c r="H65" s="8" cm="1">
        <f t="array" ref="H65">_xlfn.IFS(C63&gt;C67,D67,C63&gt;C68,D68,C63&gt;C69,D69)</f>
        <v>0.08</v>
      </c>
    </row>
    <row r="66" spans="2:13" customFormat="1" ht="17.25" outlineLevel="1" thickBot="1" x14ac:dyDescent="0.35">
      <c r="B66" s="100" t="s">
        <v>1164</v>
      </c>
      <c r="C66" s="100" t="s">
        <v>1108</v>
      </c>
      <c r="D66" s="100" t="s">
        <v>1165</v>
      </c>
      <c r="E66" s="59"/>
      <c r="F66" s="100" t="s">
        <v>1166</v>
      </c>
      <c r="G66" s="106">
        <f>C63*G65</f>
        <v>4000</v>
      </c>
    </row>
    <row r="67" spans="2:13" customFormat="1" ht="17.25" outlineLevel="1" thickBot="1" x14ac:dyDescent="0.35">
      <c r="B67" s="101" t="s">
        <v>1077</v>
      </c>
      <c r="C67" s="102">
        <v>50000</v>
      </c>
      <c r="D67" s="103">
        <v>0.13</v>
      </c>
      <c r="E67" s="59"/>
      <c r="F67" s="59"/>
      <c r="G67" s="59"/>
    </row>
    <row r="68" spans="2:13" customFormat="1" ht="17.25" outlineLevel="1" thickBot="1" x14ac:dyDescent="0.35">
      <c r="B68" s="101" t="s">
        <v>1077</v>
      </c>
      <c r="C68" s="102">
        <v>20000</v>
      </c>
      <c r="D68" s="103">
        <v>0.08</v>
      </c>
      <c r="E68" s="59"/>
      <c r="F68" s="59"/>
      <c r="G68" s="59"/>
    </row>
    <row r="69" spans="2:13" customFormat="1" ht="17.25" outlineLevel="1" thickBot="1" x14ac:dyDescent="0.35">
      <c r="B69" s="101" t="s">
        <v>1077</v>
      </c>
      <c r="C69" s="102">
        <v>0</v>
      </c>
      <c r="D69" s="103">
        <v>0.05</v>
      </c>
      <c r="E69" s="59"/>
      <c r="F69" s="59"/>
      <c r="G69" s="59"/>
    </row>
    <row r="70" spans="2:13" customFormat="1" outlineLevel="1" x14ac:dyDescent="0.2"/>
    <row r="71" spans="2:13" customFormat="1" outlineLevel="1" x14ac:dyDescent="0.2"/>
    <row r="72" spans="2:13" customFormat="1" outlineLevel="1" x14ac:dyDescent="0.2"/>
    <row r="73" spans="2:13" customFormat="1" ht="15" outlineLevel="1" x14ac:dyDescent="0.25">
      <c r="B73" s="28" t="s">
        <v>1202</v>
      </c>
    </row>
    <row r="74" spans="2:13" customFormat="1" ht="15" outlineLevel="1" thickBot="1" x14ac:dyDescent="0.25"/>
    <row r="75" spans="2:13" customFormat="1" ht="15.75" outlineLevel="1" thickBot="1" x14ac:dyDescent="0.3">
      <c r="B75" s="90" t="s">
        <v>1168</v>
      </c>
      <c r="C75" s="90" t="s">
        <v>1169</v>
      </c>
      <c r="D75" s="90" t="s">
        <v>1108</v>
      </c>
      <c r="E75" s="90" t="s">
        <v>1170</v>
      </c>
      <c r="H75" s="1" t="s">
        <v>1171</v>
      </c>
      <c r="K75" s="2"/>
      <c r="L75" s="2"/>
      <c r="M75" s="2"/>
    </row>
    <row r="76" spans="2:13" customFormat="1" ht="15.75" outlineLevel="1" thickBot="1" x14ac:dyDescent="0.3">
      <c r="B76" s="91" t="s">
        <v>1171</v>
      </c>
      <c r="C76" s="91" t="s">
        <v>1173</v>
      </c>
      <c r="D76" s="91">
        <v>6</v>
      </c>
      <c r="E76" s="99"/>
      <c r="H76" s="1" t="s">
        <v>1108</v>
      </c>
      <c r="I76" s="1" t="s">
        <v>1170</v>
      </c>
      <c r="K76" s="2"/>
      <c r="L76" s="2"/>
      <c r="M76" s="2"/>
    </row>
    <row r="77" spans="2:13" customFormat="1" ht="15" outlineLevel="1" thickBot="1" x14ac:dyDescent="0.25">
      <c r="B77" s="91" t="s">
        <v>1172</v>
      </c>
      <c r="C77" s="91" t="s">
        <v>1174</v>
      </c>
      <c r="D77" s="91">
        <v>3</v>
      </c>
      <c r="E77" s="99"/>
      <c r="G77" s="107" t="s">
        <v>1076</v>
      </c>
      <c r="H77">
        <v>5</v>
      </c>
      <c r="I77" t="s">
        <v>1175</v>
      </c>
      <c r="K77" s="2"/>
      <c r="L77" s="2"/>
      <c r="M77" s="2"/>
    </row>
    <row r="78" spans="2:13" customFormat="1" ht="15" outlineLevel="1" thickBot="1" x14ac:dyDescent="0.25">
      <c r="B78" s="91" t="s">
        <v>1171</v>
      </c>
      <c r="C78" s="91" t="s">
        <v>1174</v>
      </c>
      <c r="D78" s="91">
        <v>5</v>
      </c>
      <c r="E78" s="99"/>
      <c r="G78" s="107" t="s">
        <v>1076</v>
      </c>
      <c r="H78">
        <v>3</v>
      </c>
      <c r="I78" t="s">
        <v>1177</v>
      </c>
      <c r="K78" s="2"/>
      <c r="L78" s="2"/>
      <c r="M78" s="2"/>
    </row>
    <row r="79" spans="2:13" customFormat="1" ht="15" outlineLevel="1" thickBot="1" x14ac:dyDescent="0.25">
      <c r="B79" s="91" t="s">
        <v>1172</v>
      </c>
      <c r="C79" s="91" t="s">
        <v>1179</v>
      </c>
      <c r="D79" s="91">
        <v>2</v>
      </c>
      <c r="E79" s="99"/>
      <c r="G79" s="107" t="s">
        <v>1076</v>
      </c>
      <c r="H79">
        <v>1</v>
      </c>
      <c r="I79" t="s">
        <v>1180</v>
      </c>
      <c r="K79" s="2"/>
      <c r="L79" s="2"/>
      <c r="M79" s="2"/>
    </row>
    <row r="80" spans="2:13" customFormat="1" ht="15" outlineLevel="1" thickBot="1" x14ac:dyDescent="0.25">
      <c r="B80" s="91" t="s">
        <v>1172</v>
      </c>
      <c r="C80" s="91" t="s">
        <v>1182</v>
      </c>
      <c r="D80" s="91">
        <v>1</v>
      </c>
      <c r="E80" s="99"/>
      <c r="K80" s="107"/>
    </row>
    <row r="81" spans="2:9" customFormat="1" ht="15.75" outlineLevel="1" thickBot="1" x14ac:dyDescent="0.3">
      <c r="B81" s="91" t="s">
        <v>1171</v>
      </c>
      <c r="C81" s="91" t="s">
        <v>1183</v>
      </c>
      <c r="D81" s="91">
        <v>1</v>
      </c>
      <c r="E81" s="99"/>
      <c r="H81" s="1" t="s">
        <v>1172</v>
      </c>
    </row>
    <row r="82" spans="2:9" customFormat="1" ht="15.75" outlineLevel="1" thickBot="1" x14ac:dyDescent="0.3">
      <c r="B82" s="91" t="s">
        <v>1171</v>
      </c>
      <c r="C82" s="91" t="s">
        <v>1184</v>
      </c>
      <c r="D82" s="91">
        <v>5</v>
      </c>
      <c r="E82" s="99"/>
      <c r="H82" s="1" t="s">
        <v>1108</v>
      </c>
      <c r="I82" s="1" t="s">
        <v>1170</v>
      </c>
    </row>
    <row r="83" spans="2:9" customFormat="1" ht="15" outlineLevel="1" thickBot="1" x14ac:dyDescent="0.25">
      <c r="B83" s="91" t="s">
        <v>1172</v>
      </c>
      <c r="C83" s="91" t="s">
        <v>1185</v>
      </c>
      <c r="D83" s="91">
        <v>3</v>
      </c>
      <c r="E83" s="99"/>
      <c r="G83" s="107" t="s">
        <v>1076</v>
      </c>
      <c r="H83">
        <v>5</v>
      </c>
      <c r="I83" t="s">
        <v>1176</v>
      </c>
    </row>
    <row r="84" spans="2:9" customFormat="1" ht="15" outlineLevel="1" thickBot="1" x14ac:dyDescent="0.25">
      <c r="B84" s="91" t="s">
        <v>1172</v>
      </c>
      <c r="C84" s="91" t="s">
        <v>1174</v>
      </c>
      <c r="D84" s="91">
        <v>1</v>
      </c>
      <c r="E84" s="99"/>
      <c r="G84" s="107" t="s">
        <v>1076</v>
      </c>
      <c r="H84">
        <v>3</v>
      </c>
      <c r="I84" t="s">
        <v>1178</v>
      </c>
    </row>
    <row r="85" spans="2:9" customFormat="1" outlineLevel="1" x14ac:dyDescent="0.2">
      <c r="G85" s="107" t="s">
        <v>1076</v>
      </c>
      <c r="H85">
        <v>1</v>
      </c>
      <c r="I85" t="s">
        <v>1181</v>
      </c>
    </row>
    <row r="86" spans="2:9" outlineLevel="1" x14ac:dyDescent="0.2"/>
    <row r="87" spans="2:9" outlineLevel="1" x14ac:dyDescent="0.2"/>
    <row r="88" spans="2:9" outlineLevel="1" x14ac:dyDescent="0.2"/>
    <row r="89" spans="2:9" ht="15" outlineLevel="1" x14ac:dyDescent="0.25">
      <c r="B89" s="4" t="s">
        <v>1186</v>
      </c>
    </row>
    <row r="90" spans="2:9" outlineLevel="1" x14ac:dyDescent="0.2"/>
    <row r="91" spans="2:9" outlineLevel="1" x14ac:dyDescent="0.2"/>
    <row r="92" spans="2:9" outlineLevel="1" x14ac:dyDescent="0.2"/>
    <row r="93" spans="2:9" ht="15" outlineLevel="1" thickBot="1" x14ac:dyDescent="0.25"/>
    <row r="94" spans="2:9" customFormat="1" ht="15.75" outlineLevel="1" thickBot="1" x14ac:dyDescent="0.3">
      <c r="B94" s="90" t="s">
        <v>1187</v>
      </c>
      <c r="C94" s="90" t="s">
        <v>1188</v>
      </c>
      <c r="D94" s="90" t="s">
        <v>1189</v>
      </c>
      <c r="F94" s="90" t="s">
        <v>1187</v>
      </c>
      <c r="G94" s="90" t="s">
        <v>1189</v>
      </c>
    </row>
    <row r="95" spans="2:9" customFormat="1" ht="15" outlineLevel="1" thickBot="1" x14ac:dyDescent="0.25">
      <c r="B95" s="91" t="s">
        <v>1190</v>
      </c>
      <c r="C95" s="91">
        <v>203072.4</v>
      </c>
      <c r="D95" s="113">
        <f>_xlfn.XLOOKUP(B95,F$95:F$98,G$95:G$98)</f>
        <v>0.1</v>
      </c>
      <c r="F95" s="91" t="s">
        <v>1190</v>
      </c>
      <c r="G95" s="98">
        <v>0.1</v>
      </c>
    </row>
    <row r="96" spans="2:9" customFormat="1" ht="15" outlineLevel="1" thickBot="1" x14ac:dyDescent="0.25">
      <c r="B96" s="91" t="s">
        <v>1191</v>
      </c>
      <c r="C96" s="91">
        <v>51582.74</v>
      </c>
      <c r="D96" s="113">
        <f t="shared" ref="D96:D98" si="5">_xlfn.XLOOKUP(B96,F$95:F$98,G$95:G$98)</f>
        <v>0.15</v>
      </c>
      <c r="F96" s="91" t="s">
        <v>1191</v>
      </c>
      <c r="G96" s="98">
        <v>0.15</v>
      </c>
    </row>
    <row r="97" spans="2:7" customFormat="1" ht="15" outlineLevel="1" thickBot="1" x14ac:dyDescent="0.25">
      <c r="B97" s="91" t="s">
        <v>1192</v>
      </c>
      <c r="C97" s="91">
        <v>79115.38</v>
      </c>
      <c r="D97" s="113">
        <f t="shared" si="5"/>
        <v>0.15</v>
      </c>
      <c r="F97" s="91" t="s">
        <v>1192</v>
      </c>
      <c r="G97" s="98">
        <v>0.15</v>
      </c>
    </row>
    <row r="98" spans="2:7" customFormat="1" ht="15" outlineLevel="1" thickBot="1" x14ac:dyDescent="0.25">
      <c r="B98" s="91" t="s">
        <v>1193</v>
      </c>
      <c r="C98" s="91">
        <v>65658.44</v>
      </c>
      <c r="D98" s="113">
        <f t="shared" si="5"/>
        <v>0.2</v>
      </c>
      <c r="F98" s="91" t="s">
        <v>1193</v>
      </c>
      <c r="G98" s="98">
        <v>0.2</v>
      </c>
    </row>
    <row r="99" spans="2:7" customFormat="1" x14ac:dyDescent="0.2"/>
    <row r="100" spans="2:7" customFormat="1" x14ac:dyDescent="0.2"/>
    <row r="101" spans="2:7" customFormat="1" x14ac:dyDescent="0.2"/>
    <row r="106" spans="2:7" outlineLevel="1" x14ac:dyDescent="0.2"/>
    <row r="107" spans="2:7" outlineLevel="1" x14ac:dyDescent="0.2"/>
    <row r="108" spans="2:7" outlineLevel="1" x14ac:dyDescent="0.2"/>
    <row r="109" spans="2:7" outlineLevel="1" x14ac:dyDescent="0.2"/>
    <row r="110" spans="2:7" outlineLevel="1" x14ac:dyDescent="0.2"/>
    <row r="111" spans="2:7" outlineLevel="1" x14ac:dyDescent="0.2"/>
    <row r="112" spans="2:7" outlineLevel="1" x14ac:dyDescent="0.2"/>
    <row r="113" spans="2:5" outlineLevel="1" x14ac:dyDescent="0.2"/>
    <row r="114" spans="2:5" outlineLevel="1" x14ac:dyDescent="0.2"/>
    <row r="115" spans="2:5" outlineLevel="1" x14ac:dyDescent="0.2"/>
    <row r="116" spans="2:5" outlineLevel="1" x14ac:dyDescent="0.2"/>
    <row r="117" spans="2:5" outlineLevel="1" x14ac:dyDescent="0.2"/>
    <row r="118" spans="2:5" outlineLevel="1" x14ac:dyDescent="0.2"/>
    <row r="119" spans="2:5" outlineLevel="1" x14ac:dyDescent="0.2"/>
    <row r="120" spans="2:5" outlineLevel="1" x14ac:dyDescent="0.2"/>
    <row r="121" spans="2:5" outlineLevel="1" x14ac:dyDescent="0.2"/>
    <row r="122" spans="2:5" outlineLevel="1" x14ac:dyDescent="0.2"/>
    <row r="123" spans="2:5" outlineLevel="1" x14ac:dyDescent="0.2"/>
    <row r="124" spans="2:5" outlineLevel="1" x14ac:dyDescent="0.2"/>
    <row r="125" spans="2:5" ht="15" outlineLevel="1" x14ac:dyDescent="0.25">
      <c r="B125" s="4" t="s">
        <v>1201</v>
      </c>
    </row>
    <row r="126" spans="2:5" ht="15" outlineLevel="1" thickBot="1" x14ac:dyDescent="0.25"/>
    <row r="127" spans="2:5" customFormat="1" ht="15.75" outlineLevel="1" thickBot="1" x14ac:dyDescent="0.3">
      <c r="B127" s="90" t="s">
        <v>1194</v>
      </c>
      <c r="C127" s="90" t="s">
        <v>820</v>
      </c>
      <c r="E127" s="90" t="s">
        <v>1199</v>
      </c>
    </row>
    <row r="128" spans="2:5" customFormat="1" ht="15" outlineLevel="1" thickBot="1" x14ac:dyDescent="0.25">
      <c r="B128" s="91" t="s">
        <v>1195</v>
      </c>
      <c r="C128" s="91" t="s">
        <v>1196</v>
      </c>
      <c r="E128" s="108" t="b">
        <f>AND(C128="ok",C129="ok",C130="ok")</f>
        <v>1</v>
      </c>
    </row>
    <row r="129" spans="2:3" customFormat="1" ht="15" outlineLevel="1" thickBot="1" x14ac:dyDescent="0.25">
      <c r="B129" s="91" t="s">
        <v>1197</v>
      </c>
      <c r="C129" s="91" t="s">
        <v>1196</v>
      </c>
    </row>
    <row r="130" spans="2:3" customFormat="1" ht="15" outlineLevel="1" thickBot="1" x14ac:dyDescent="0.25">
      <c r="B130" s="91" t="s">
        <v>1198</v>
      </c>
      <c r="C130" s="91" t="s">
        <v>1196</v>
      </c>
    </row>
    <row r="131" spans="2:3" customFormat="1" outlineLevel="1" x14ac:dyDescent="0.2"/>
    <row r="132" spans="2:3" customFormat="1" outlineLevel="1" x14ac:dyDescent="0.2">
      <c r="C132" s="2"/>
    </row>
    <row r="133" spans="2:3" customFormat="1" x14ac:dyDescent="0.2"/>
    <row r="134" spans="2:3" x14ac:dyDescent="0.2">
      <c r="B134"/>
    </row>
    <row r="135" spans="2:3" x14ac:dyDescent="0.2">
      <c r="B135"/>
      <c r="C135" s="3"/>
    </row>
    <row r="136" spans="2:3" outlineLevel="1" x14ac:dyDescent="0.2">
      <c r="B136"/>
      <c r="C136" s="3"/>
    </row>
    <row r="137" spans="2:3" outlineLevel="1" x14ac:dyDescent="0.2">
      <c r="B137"/>
      <c r="C137" s="3"/>
    </row>
    <row r="138" spans="2:3" outlineLevel="1" x14ac:dyDescent="0.2">
      <c r="B138"/>
      <c r="C138" s="3"/>
    </row>
    <row r="139" spans="2:3" outlineLevel="1" x14ac:dyDescent="0.2">
      <c r="B139"/>
      <c r="C139" s="29"/>
    </row>
    <row r="140" spans="2:3" outlineLevel="1" x14ac:dyDescent="0.2">
      <c r="B140"/>
      <c r="C140" s="3"/>
    </row>
    <row r="141" spans="2:3" outlineLevel="1" x14ac:dyDescent="0.2">
      <c r="B141"/>
      <c r="C141" s="29"/>
    </row>
    <row r="142" spans="2:3" outlineLevel="1" x14ac:dyDescent="0.2">
      <c r="B142"/>
    </row>
    <row r="143" spans="2:3" outlineLevel="1" x14ac:dyDescent="0.2">
      <c r="C143" s="30"/>
    </row>
    <row r="144" spans="2:3" outlineLevel="1" x14ac:dyDescent="0.2">
      <c r="C144" s="30"/>
    </row>
    <row r="145" spans="2:5" outlineLevel="1" x14ac:dyDescent="0.2">
      <c r="C145" s="30"/>
    </row>
    <row r="146" spans="2:5" outlineLevel="1" x14ac:dyDescent="0.2">
      <c r="C146" s="30"/>
    </row>
    <row r="147" spans="2:5" outlineLevel="1" x14ac:dyDescent="0.2">
      <c r="C147" s="30"/>
    </row>
    <row r="148" spans="2:5" outlineLevel="1" x14ac:dyDescent="0.2">
      <c r="C148" s="29"/>
      <c r="D148" s="2" t="s">
        <v>444</v>
      </c>
    </row>
    <row r="149" spans="2:5" outlineLevel="1" x14ac:dyDescent="0.2">
      <c r="C149" s="30"/>
    </row>
    <row r="150" spans="2:5" outlineLevel="1" x14ac:dyDescent="0.2"/>
    <row r="151" spans="2:5" outlineLevel="1" x14ac:dyDescent="0.2"/>
    <row r="152" spans="2:5" outlineLevel="1" x14ac:dyDescent="0.2"/>
    <row r="153" spans="2:5" outlineLevel="1" x14ac:dyDescent="0.2"/>
    <row r="154" spans="2:5" outlineLevel="1" x14ac:dyDescent="0.2"/>
    <row r="155" spans="2:5" ht="15" outlineLevel="1" x14ac:dyDescent="0.25">
      <c r="B155" s="4" t="s">
        <v>1201</v>
      </c>
    </row>
    <row r="156" spans="2:5" ht="15" outlineLevel="1" thickBot="1" x14ac:dyDescent="0.25"/>
    <row r="157" spans="2:5" ht="15.75" outlineLevel="1" thickBot="1" x14ac:dyDescent="0.3">
      <c r="B157" s="90" t="s">
        <v>1194</v>
      </c>
      <c r="C157" s="90" t="s">
        <v>820</v>
      </c>
      <c r="D157"/>
      <c r="E157" s="90" t="s">
        <v>1200</v>
      </c>
    </row>
    <row r="158" spans="2:5" ht="15" outlineLevel="1" thickBot="1" x14ac:dyDescent="0.25">
      <c r="B158" s="91" t="s">
        <v>1195</v>
      </c>
      <c r="C158" s="91" t="s">
        <v>1196</v>
      </c>
      <c r="D158"/>
      <c r="E158" s="108" t="b">
        <f>OR(C158="ok",C159="ok",C160="ok")</f>
        <v>1</v>
      </c>
    </row>
    <row r="159" spans="2:5" ht="15" outlineLevel="1" thickBot="1" x14ac:dyDescent="0.25">
      <c r="B159" s="91" t="s">
        <v>1197</v>
      </c>
      <c r="C159" s="91" t="s">
        <v>181</v>
      </c>
      <c r="D159"/>
      <c r="E159"/>
    </row>
    <row r="160" spans="2:5" ht="15" outlineLevel="1" thickBot="1" x14ac:dyDescent="0.25">
      <c r="B160" s="91" t="s">
        <v>1198</v>
      </c>
      <c r="C160" s="91" t="s">
        <v>181</v>
      </c>
      <c r="D160"/>
      <c r="E160"/>
    </row>
    <row r="161" spans="2:6" outlineLevel="1" x14ac:dyDescent="0.2"/>
    <row r="162" spans="2:6" outlineLevel="1" x14ac:dyDescent="0.2"/>
    <row r="171" spans="2:6" ht="15" x14ac:dyDescent="0.25">
      <c r="B171" s="4" t="s">
        <v>1201</v>
      </c>
    </row>
    <row r="172" spans="2:6" ht="15" thickBot="1" x14ac:dyDescent="0.25"/>
    <row r="173" spans="2:6" ht="15.75" thickBot="1" x14ac:dyDescent="0.3">
      <c r="B173" s="90" t="s">
        <v>1194</v>
      </c>
      <c r="C173" s="90" t="s">
        <v>820</v>
      </c>
      <c r="D173"/>
      <c r="E173" s="90" t="s">
        <v>1199</v>
      </c>
      <c r="F173" s="90" t="s">
        <v>1200</v>
      </c>
    </row>
    <row r="174" spans="2:6" ht="15" thickBot="1" x14ac:dyDescent="0.25">
      <c r="B174" s="91" t="s">
        <v>1195</v>
      </c>
      <c r="C174" s="91" t="s">
        <v>1196</v>
      </c>
      <c r="D174"/>
      <c r="E174" s="108" t="str">
        <f>IF(AND(C174="ok",C175="ok",C176="ok"),"Terminado","No terminado")</f>
        <v>No terminado</v>
      </c>
      <c r="F174" s="108" t="str">
        <f>IF(OR(C174="ok",C175="ok",C176="ok"),"Terminado","En curso")</f>
        <v>Terminado</v>
      </c>
    </row>
    <row r="175" spans="2:6" ht="15" thickBot="1" x14ac:dyDescent="0.25">
      <c r="B175" s="91" t="s">
        <v>1197</v>
      </c>
      <c r="C175" s="91" t="s">
        <v>181</v>
      </c>
      <c r="D175"/>
      <c r="E175"/>
    </row>
    <row r="176" spans="2:6" ht="15" thickBot="1" x14ac:dyDescent="0.25">
      <c r="B176" s="91" t="s">
        <v>1198</v>
      </c>
      <c r="C176" s="91" t="s">
        <v>1196</v>
      </c>
      <c r="D176"/>
      <c r="E176"/>
    </row>
    <row r="186" spans="2:2" ht="15" x14ac:dyDescent="0.25">
      <c r="B186" s="4"/>
    </row>
  </sheetData>
  <protectedRanges>
    <protectedRange sqref="G65:G66" name="Rango1"/>
  </protectedRanges>
  <mergeCells count="1">
    <mergeCell ref="B65:D6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F7BC-A7E7-4079-A856-EB4DB5819D41}">
  <dimension ref="B20:K57"/>
  <sheetViews>
    <sheetView showGridLines="0" zoomScaleNormal="100" workbookViewId="0">
      <pane ySplit="3" topLeftCell="A33" activePane="bottomLeft" state="frozen"/>
      <selection pane="bottomLeft" activeCell="F53" sqref="F53"/>
    </sheetView>
  </sheetViews>
  <sheetFormatPr baseColWidth="10" defaultColWidth="11.5" defaultRowHeight="14.25" x14ac:dyDescent="0.35"/>
  <cols>
    <col min="1" max="1" width="1.5" style="2" customWidth="1"/>
    <col min="2" max="2" width="18.5" style="2" customWidth="1"/>
    <col min="3" max="3" width="11.25" style="2" customWidth="1"/>
    <col min="4" max="4" width="10.875" style="2" bestFit="1" customWidth="1"/>
    <col min="5" max="5" width="31.375" style="2" bestFit="1" customWidth="1"/>
    <col min="6"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20" spans="2:11" ht="15" x14ac:dyDescent="0.25">
      <c r="B20" s="4" t="s">
        <v>1154</v>
      </c>
      <c r="C20"/>
      <c r="D20"/>
      <c r="E20"/>
      <c r="F20"/>
      <c r="G20"/>
      <c r="H20"/>
      <c r="I20"/>
      <c r="J20"/>
      <c r="K20"/>
    </row>
    <row r="21" spans="2:11" ht="15" thickBot="1" x14ac:dyDescent="0.25">
      <c r="C21"/>
      <c r="D21"/>
      <c r="E21"/>
      <c r="F21"/>
      <c r="G21"/>
      <c r="H21"/>
      <c r="I21"/>
      <c r="J21"/>
      <c r="K21"/>
    </row>
    <row r="22" spans="2:11" ht="15.75" thickBot="1" x14ac:dyDescent="0.3">
      <c r="B22" s="96" t="s">
        <v>1141</v>
      </c>
      <c r="C22" s="90" t="s">
        <v>1142</v>
      </c>
      <c r="D22" s="90" t="s">
        <v>744</v>
      </c>
      <c r="E22" s="90" t="s">
        <v>1143</v>
      </c>
      <c r="F22"/>
      <c r="G22" s="90" t="s">
        <v>1142</v>
      </c>
      <c r="H22" s="90" t="s">
        <v>744</v>
      </c>
      <c r="I22"/>
      <c r="J22" s="90" t="s">
        <v>1142</v>
      </c>
      <c r="K22" s="90" t="s">
        <v>744</v>
      </c>
    </row>
    <row r="23" spans="2:11" customFormat="1" ht="15" thickBot="1" x14ac:dyDescent="0.25">
      <c r="B23" s="97" t="s">
        <v>1144</v>
      </c>
      <c r="C23" s="91">
        <v>7.4</v>
      </c>
      <c r="D23" s="99" t="str">
        <f>IF(C23&lt;=6,"reprobado","Aprobado")</f>
        <v>Aprobado</v>
      </c>
      <c r="E23" s="113" cm="1">
        <f t="array" ref="E23">_xlfn.IFS(C23&lt;=7,"Nulo",C23&lt;8,10%,C23&lt;9,30%,C23&gt;=9,45%)</f>
        <v>0.1</v>
      </c>
      <c r="G23" s="91" t="s">
        <v>1155</v>
      </c>
      <c r="H23" s="91" t="s">
        <v>1147</v>
      </c>
      <c r="J23" s="91" t="s">
        <v>1158</v>
      </c>
      <c r="K23" s="91" t="s">
        <v>1157</v>
      </c>
    </row>
    <row r="24" spans="2:11" customFormat="1" ht="15" thickBot="1" x14ac:dyDescent="0.25">
      <c r="B24" s="97" t="s">
        <v>1146</v>
      </c>
      <c r="C24" s="91">
        <v>5.8</v>
      </c>
      <c r="D24" s="99" t="str">
        <f t="shared" ref="D24:D30" si="0">IF(C24&lt;=6,"reprobado","Aprobado")</f>
        <v>reprobado</v>
      </c>
      <c r="E24" s="113" t="str" cm="1">
        <f t="array" ref="E24">_xlfn.IFS(C24&lt;=7,"Nulo",C24&lt;8,10%,C24&lt;9,30%,C24&gt;=9,45%)</f>
        <v>Nulo</v>
      </c>
      <c r="G24" s="91" t="s">
        <v>1156</v>
      </c>
      <c r="H24" s="91" t="s">
        <v>1145</v>
      </c>
      <c r="J24" s="91" t="s">
        <v>1159</v>
      </c>
      <c r="K24" s="98">
        <v>0.1</v>
      </c>
    </row>
    <row r="25" spans="2:11" customFormat="1" ht="15" thickBot="1" x14ac:dyDescent="0.25">
      <c r="B25" s="97" t="s">
        <v>1148</v>
      </c>
      <c r="C25" s="91">
        <v>7.2</v>
      </c>
      <c r="D25" s="99" t="str">
        <f t="shared" si="0"/>
        <v>Aprobado</v>
      </c>
      <c r="E25" s="113" cm="1">
        <f t="array" ref="E25">_xlfn.IFS(C25&lt;=7,"Nulo",C25&lt;8,10%,C25&lt;9,30%,C25&gt;=9,45%)</f>
        <v>0.1</v>
      </c>
      <c r="J25" s="91" t="s">
        <v>1160</v>
      </c>
      <c r="K25" s="98">
        <v>0.3</v>
      </c>
    </row>
    <row r="26" spans="2:11" customFormat="1" ht="15" thickBot="1" x14ac:dyDescent="0.25">
      <c r="B26" s="91" t="s">
        <v>1149</v>
      </c>
      <c r="C26" s="91">
        <v>8.8000000000000007</v>
      </c>
      <c r="D26" s="99" t="str">
        <f t="shared" si="0"/>
        <v>Aprobado</v>
      </c>
      <c r="E26" s="113" cm="1">
        <f t="array" ref="E26">_xlfn.IFS(C26&lt;=7,"Nulo",C26&lt;8,10%,C26&lt;9,30%,C26&gt;=9,45%)</f>
        <v>0.3</v>
      </c>
      <c r="J26" s="91" t="s">
        <v>1161</v>
      </c>
      <c r="K26" s="98">
        <v>0.45</v>
      </c>
    </row>
    <row r="27" spans="2:11" customFormat="1" ht="15" thickBot="1" x14ac:dyDescent="0.25">
      <c r="B27" s="91" t="s">
        <v>1150</v>
      </c>
      <c r="C27" s="91">
        <v>9.6</v>
      </c>
      <c r="D27" s="99" t="str">
        <f t="shared" si="0"/>
        <v>Aprobado</v>
      </c>
      <c r="E27" s="113" cm="1">
        <f t="array" ref="E27">_xlfn.IFS(C27&lt;=7,"Nulo",C27&lt;8,10%,C27&lt;9,30%,C27&gt;=9,45%)</f>
        <v>0.45</v>
      </c>
    </row>
    <row r="28" spans="2:11" customFormat="1" ht="15" thickBot="1" x14ac:dyDescent="0.25">
      <c r="B28" s="91" t="s">
        <v>1151</v>
      </c>
      <c r="C28" s="91">
        <v>8.6999999999999993</v>
      </c>
      <c r="D28" s="99" t="str">
        <f t="shared" si="0"/>
        <v>Aprobado</v>
      </c>
      <c r="E28" s="113" cm="1">
        <f t="array" ref="E28">_xlfn.IFS(C28&lt;=7,"Nulo",C28&lt;8,10%,C28&lt;9,30%,C28&gt;=9,45%)</f>
        <v>0.3</v>
      </c>
    </row>
    <row r="29" spans="2:11" customFormat="1" ht="15" thickBot="1" x14ac:dyDescent="0.25">
      <c r="B29" s="91" t="s">
        <v>1152</v>
      </c>
      <c r="C29" s="91">
        <v>4.3</v>
      </c>
      <c r="D29" s="99" t="str">
        <f t="shared" si="0"/>
        <v>reprobado</v>
      </c>
      <c r="E29" s="113" t="str" cm="1">
        <f t="array" ref="E29">_xlfn.IFS(C29&lt;=7,"Nulo",C29&lt;8,10%,C29&lt;9,30%,C29&gt;=9,45%)</f>
        <v>Nulo</v>
      </c>
    </row>
    <row r="30" spans="2:11" customFormat="1" ht="15" thickBot="1" x14ac:dyDescent="0.25">
      <c r="B30" s="91" t="s">
        <v>1153</v>
      </c>
      <c r="C30" s="91">
        <v>8.5</v>
      </c>
      <c r="D30" s="99" t="str">
        <f t="shared" si="0"/>
        <v>Aprobado</v>
      </c>
      <c r="E30" s="113" cm="1">
        <f t="array" ref="E30">_xlfn.IFS(C30&lt;=7,"Nulo",C30&lt;8,10%,C30&lt;9,30%,C30&gt;=9,45%)</f>
        <v>0.3</v>
      </c>
    </row>
    <row r="31" spans="2:11" customFormat="1" x14ac:dyDescent="0.2"/>
    <row r="32" spans="2:11" customFormat="1" x14ac:dyDescent="0.2"/>
    <row r="33" spans="2:9" customFormat="1" x14ac:dyDescent="0.2"/>
    <row r="34" spans="2:9" customFormat="1" x14ac:dyDescent="0.2"/>
    <row r="35" spans="2:9" customFormat="1" x14ac:dyDescent="0.2"/>
    <row r="36" spans="2:9" customFormat="1" x14ac:dyDescent="0.2"/>
    <row r="37" spans="2:9" customFormat="1" x14ac:dyDescent="0.2"/>
    <row r="38" spans="2:9" customFormat="1" x14ac:dyDescent="0.2"/>
    <row r="42" spans="2:9" ht="15" x14ac:dyDescent="0.25">
      <c r="B42" s="28" t="s">
        <v>1202</v>
      </c>
    </row>
    <row r="46" spans="2:9" ht="18.75" thickBot="1" x14ac:dyDescent="0.4"/>
    <row r="47" spans="2:9" customFormat="1" ht="18.75" thickBot="1" x14ac:dyDescent="0.4">
      <c r="B47" s="90" t="s">
        <v>1168</v>
      </c>
      <c r="C47" s="90" t="s">
        <v>1169</v>
      </c>
      <c r="D47" s="90" t="s">
        <v>1108</v>
      </c>
      <c r="E47" s="90" t="s">
        <v>1170</v>
      </c>
      <c r="F47" s="2"/>
      <c r="H47" s="1" t="s">
        <v>1171</v>
      </c>
    </row>
    <row r="48" spans="2:9" customFormat="1" ht="18.75" thickBot="1" x14ac:dyDescent="0.4">
      <c r="B48" s="91" t="s">
        <v>1171</v>
      </c>
      <c r="C48" s="91" t="s">
        <v>1173</v>
      </c>
      <c r="D48" s="91">
        <v>6</v>
      </c>
      <c r="E48" s="99" t="str" cm="1">
        <f t="array" ref="E48">_xlfn.IFS(AND(B48=H$47,D48&gt;=H$49),I$49,AND(B48=H$47,D48&gt;=H$50),I$50,AND(B48=H$47,D48&gt;=H$51),I$51,AND(B48=H$53,D48&gt;=H$55),I$55,AND(B48=H$53,D48&gt;=H$56),I$56,AND(B48=H$53,D48&gt;=H$57),I$57)</f>
        <v>Desayunos buffet en toda la estancia</v>
      </c>
      <c r="H48" s="1" t="s">
        <v>1108</v>
      </c>
      <c r="I48" s="1" t="s">
        <v>1170</v>
      </c>
    </row>
    <row r="49" spans="2:9" customFormat="1" ht="15" thickBot="1" x14ac:dyDescent="0.25">
      <c r="B49" s="91" t="s">
        <v>1172</v>
      </c>
      <c r="C49" s="91" t="s">
        <v>1174</v>
      </c>
      <c r="D49" s="91">
        <v>3</v>
      </c>
      <c r="E49" s="99" t="str" cm="1">
        <f t="array" ref="E49">_xlfn.IFS(AND(B49=H$47,D49&gt;=H$49),I$49,AND(B49=H$47,D49&gt;=H$50),I$50,AND(B49=H$47,D49&gt;=H$51),I$51,AND(B49=H$53,D49&gt;=H$55),I$55,AND(B49=H$53,D49&gt;=H$56),I$56,AND(B49=H$53,D49&gt;=H$57),I$57)</f>
        <v>1 tour gratis</v>
      </c>
      <c r="G49" s="107" t="s">
        <v>1076</v>
      </c>
      <c r="H49">
        <v>5</v>
      </c>
      <c r="I49" t="s">
        <v>1175</v>
      </c>
    </row>
    <row r="50" spans="2:9" customFormat="1" ht="15" thickBot="1" x14ac:dyDescent="0.25">
      <c r="B50" s="91" t="s">
        <v>1171</v>
      </c>
      <c r="C50" s="91" t="s">
        <v>1174</v>
      </c>
      <c r="D50" s="91">
        <v>5</v>
      </c>
      <c r="E50" s="99" t="str" cm="1">
        <f t="array" ref="E50">_xlfn.IFS(AND(B50=H$47,D50&gt;=H$49),I$49,AND(B50=H$47,D50&gt;=H$50),I$50,AND(B50=H$47,D50&gt;=H$51),I$51,AND(B50=H$53,D50&gt;=H$55),I$55,AND(B50=H$53,D50&gt;=H$56),I$56,AND(B50=H$53,D50&gt;=H$57),I$57)</f>
        <v>Desayunos buffet en toda la estancia</v>
      </c>
      <c r="G50" s="107" t="s">
        <v>1076</v>
      </c>
      <c r="H50">
        <v>3</v>
      </c>
      <c r="I50" t="s">
        <v>1177</v>
      </c>
    </row>
    <row r="51" spans="2:9" customFormat="1" ht="15" thickBot="1" x14ac:dyDescent="0.25">
      <c r="B51" s="91" t="s">
        <v>1172</v>
      </c>
      <c r="C51" s="91" t="s">
        <v>1179</v>
      </c>
      <c r="D51" s="91">
        <v>2</v>
      </c>
      <c r="E51" s="99" t="str" cm="1">
        <f t="array" ref="E51">_xlfn.IFS(AND(B51=H$47,D51&gt;=H$49),I$49,AND(B51=H$47,D51&gt;=H$50),I$50,AND(B51=H$47,D51&gt;=H$51),I$51,AND(B51=H$53,D51&gt;=H$55),I$55,AND(B51=H$53,D51&gt;=H$56),I$56,AND(B51=H$53,D51&gt;=H$57),I$57)</f>
        <v>Descuento del 20%</v>
      </c>
      <c r="G51" s="107" t="s">
        <v>1076</v>
      </c>
      <c r="H51">
        <v>1</v>
      </c>
      <c r="I51" t="s">
        <v>1180</v>
      </c>
    </row>
    <row r="52" spans="2:9" customFormat="1" ht="15" thickBot="1" x14ac:dyDescent="0.25">
      <c r="B52" s="91" t="s">
        <v>1172</v>
      </c>
      <c r="C52" s="91" t="s">
        <v>1182</v>
      </c>
      <c r="D52" s="91">
        <v>1</v>
      </c>
      <c r="E52" s="99" t="str" cm="1">
        <f t="array" ref="E52">_xlfn.IFS(AND(B52=H$47,D52&gt;=H$49),I$49,AND(B52=H$47,D52&gt;=H$50),I$50,AND(B52=H$47,D52&gt;=H$51),I$51,AND(B52=H$53,D52&gt;=H$55),I$55,AND(B52=H$53,D52&gt;=H$56),I$56,AND(B52=H$53,D52&gt;=H$57),I$57)</f>
        <v>Descuento del 20%</v>
      </c>
    </row>
    <row r="53" spans="2:9" customFormat="1" ht="18.75" thickBot="1" x14ac:dyDescent="0.4">
      <c r="B53" s="91" t="s">
        <v>1171</v>
      </c>
      <c r="C53" s="91" t="s">
        <v>1183</v>
      </c>
      <c r="D53" s="91">
        <v>1</v>
      </c>
      <c r="E53" s="99" t="str" cm="1">
        <f t="array" ref="E53">_xlfn.IFS(AND(B53=H$47,D53&gt;=H$49),I$49,AND(B53=H$47,D53&gt;=H$50),I$50,AND(B53=H$47,D53&gt;=H$51),I$51,AND(B53=H$53,D53&gt;=H$55),I$55,AND(B53=H$53,D53&gt;=H$56),I$56,AND(B53=H$53,D53&gt;=H$57),I$57)</f>
        <v>1 Maleta</v>
      </c>
      <c r="H53" s="1" t="s">
        <v>1172</v>
      </c>
    </row>
    <row r="54" spans="2:9" customFormat="1" ht="18.75" thickBot="1" x14ac:dyDescent="0.4">
      <c r="B54" s="91" t="s">
        <v>1171</v>
      </c>
      <c r="C54" s="91" t="s">
        <v>1184</v>
      </c>
      <c r="D54" s="91">
        <v>5</v>
      </c>
      <c r="E54" s="99" t="str" cm="1">
        <f t="array" ref="E54">_xlfn.IFS(AND(B54=H$47,D54&gt;=H$49),I$49,AND(B54=H$47,D54&gt;=H$50),I$50,AND(B54=H$47,D54&gt;=H$51),I$51,AND(B54=H$53,D54&gt;=H$55),I$55,AND(B54=H$53,D54&gt;=H$56),I$56,AND(B54=H$53,D54&gt;=H$57),I$57)</f>
        <v>Desayunos buffet en toda la estancia</v>
      </c>
      <c r="H54" s="1" t="s">
        <v>1108</v>
      </c>
      <c r="I54" s="1" t="s">
        <v>1170</v>
      </c>
    </row>
    <row r="55" spans="2:9" ht="18.75" thickBot="1" x14ac:dyDescent="0.4">
      <c r="B55" s="91" t="s">
        <v>1172</v>
      </c>
      <c r="C55" s="91" t="s">
        <v>1185</v>
      </c>
      <c r="D55" s="91">
        <v>3</v>
      </c>
      <c r="E55" s="99" t="str" cm="1">
        <f t="array" ref="E55">_xlfn.IFS(AND(B55=H$47,D55&gt;=H$49),I$49,AND(B55=H$47,D55&gt;=H$50),I$50,AND(B55=H$47,D55&gt;=H$51),I$51,AND(B55=H$53,D55&gt;=H$55),I$55,AND(B55=H$53,D55&gt;=H$56),I$56,AND(B55=H$53,D55&gt;=H$57),I$57)</f>
        <v>1 tour gratis</v>
      </c>
      <c r="F55"/>
      <c r="G55" s="107" t="s">
        <v>1076</v>
      </c>
      <c r="H55">
        <v>5</v>
      </c>
      <c r="I55" t="s">
        <v>1176</v>
      </c>
    </row>
    <row r="56" spans="2:9" ht="18.75" thickBot="1" x14ac:dyDescent="0.4">
      <c r="B56" s="91" t="s">
        <v>1172</v>
      </c>
      <c r="C56" s="91" t="s">
        <v>1174</v>
      </c>
      <c r="D56" s="91">
        <v>1</v>
      </c>
      <c r="E56" s="99" t="str" cm="1">
        <f t="array" ref="E56">_xlfn.IFS(AND(B56=H$47,D56&gt;=H$49),I$49,AND(B56=H$47,D56&gt;=H$50),I$50,AND(B56=H$47,D56&gt;=H$51),I$51,AND(B56=H$53,D56&gt;=H$55),I$55,AND(B56=H$53,D56&gt;=H$56),I$56,AND(B56=H$53,D56&gt;=H$57),I$57)</f>
        <v>Descuento del 20%</v>
      </c>
      <c r="F56"/>
      <c r="G56" s="107" t="s">
        <v>1076</v>
      </c>
      <c r="H56">
        <v>3</v>
      </c>
      <c r="I56" t="s">
        <v>1178</v>
      </c>
    </row>
    <row r="57" spans="2:9" ht="18" x14ac:dyDescent="0.35">
      <c r="B57"/>
      <c r="C57"/>
      <c r="D57"/>
      <c r="E57"/>
      <c r="F57"/>
      <c r="G57" s="107" t="s">
        <v>1076</v>
      </c>
      <c r="H57">
        <v>1</v>
      </c>
      <c r="I57" t="s">
        <v>1181</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4F1B-2410-4C91-978E-547BAABEEC66}">
  <dimension ref="B12:I74"/>
  <sheetViews>
    <sheetView showGridLines="0" zoomScale="90" zoomScaleNormal="90" workbookViewId="0">
      <pane ySplit="3" topLeftCell="A52" activePane="bottomLeft" state="frozen"/>
      <selection pane="bottomLeft" activeCell="C76" sqref="C76"/>
    </sheetView>
  </sheetViews>
  <sheetFormatPr baseColWidth="10" defaultColWidth="11.5" defaultRowHeight="14.25" x14ac:dyDescent="0.2"/>
  <cols>
    <col min="1" max="1" width="1.5" style="2" customWidth="1"/>
    <col min="2" max="2" width="28" style="2" customWidth="1"/>
    <col min="3" max="3" width="16.125" style="2" customWidth="1"/>
    <col min="4" max="4" width="16.875" style="2" customWidth="1"/>
    <col min="5" max="5" width="13.75" style="2" customWidth="1"/>
    <col min="6" max="6" width="26" style="2" bestFit="1" customWidth="1"/>
    <col min="7" max="8" width="11.5" style="2"/>
    <col min="9" max="9" width="31.25" style="2" bestFit="1" customWidth="1"/>
    <col min="10" max="10" width="15.25" style="2" bestFit="1" customWidth="1"/>
    <col min="11" max="11" width="10.875" style="2" bestFit="1" customWidth="1"/>
    <col min="12" max="12" width="9.5" style="2" bestFit="1" customWidth="1"/>
    <col min="13" max="16384" width="11.5" style="2"/>
  </cols>
  <sheetData>
    <row r="12" spans="2:7" ht="15" x14ac:dyDescent="0.25">
      <c r="B12" s="4" t="s">
        <v>371</v>
      </c>
    </row>
    <row r="13" spans="2:7" x14ac:dyDescent="0.2">
      <c r="B13" s="2" t="s">
        <v>372</v>
      </c>
    </row>
    <row r="14" spans="2:7" ht="15" thickBot="1" x14ac:dyDescent="0.25"/>
    <row r="15" spans="2:7" ht="15.75" thickBot="1" x14ac:dyDescent="0.25">
      <c r="B15" s="14" t="s">
        <v>331</v>
      </c>
      <c r="C15" s="109" t="s">
        <v>332</v>
      </c>
      <c r="D15" s="111" t="s">
        <v>334</v>
      </c>
      <c r="F15" s="14" t="s">
        <v>331</v>
      </c>
      <c r="G15" s="14" t="s">
        <v>334</v>
      </c>
    </row>
    <row r="16" spans="2:7" ht="15" thickBot="1" x14ac:dyDescent="0.25">
      <c r="B16" s="15" t="s">
        <v>335</v>
      </c>
      <c r="C16" s="110" t="s">
        <v>336</v>
      </c>
      <c r="D16" s="108" t="str">
        <f>_xlfn.XLOOKUP(B16,F15:F22,G15:G22,"No se encuentra")</f>
        <v>No se encuentra</v>
      </c>
      <c r="F16" s="15"/>
      <c r="G16" s="15" t="s">
        <v>337</v>
      </c>
    </row>
    <row r="17" spans="2:7" ht="15" thickBot="1" x14ac:dyDescent="0.25">
      <c r="B17" s="15" t="s">
        <v>338</v>
      </c>
      <c r="C17" s="110" t="s">
        <v>339</v>
      </c>
      <c r="D17" s="108" t="str">
        <f t="shared" ref="D17:D22" si="0">_xlfn.XLOOKUP(B17,F16:F23,G16:G23,"No se encuentra")</f>
        <v>Platform</v>
      </c>
      <c r="F17" s="15" t="s">
        <v>338</v>
      </c>
      <c r="G17" s="15" t="s">
        <v>332</v>
      </c>
    </row>
    <row r="18" spans="2:7" ht="15" thickBot="1" x14ac:dyDescent="0.25">
      <c r="B18" s="15" t="s">
        <v>340</v>
      </c>
      <c r="C18" s="110" t="s">
        <v>336</v>
      </c>
      <c r="D18" s="108" t="str">
        <f t="shared" si="0"/>
        <v>Racing</v>
      </c>
      <c r="F18" s="15" t="s">
        <v>340</v>
      </c>
      <c r="G18" s="15" t="s">
        <v>341</v>
      </c>
    </row>
    <row r="19" spans="2:7" ht="15" thickBot="1" x14ac:dyDescent="0.25">
      <c r="B19" s="15" t="s">
        <v>342</v>
      </c>
      <c r="C19" s="110" t="s">
        <v>336</v>
      </c>
      <c r="D19" s="108" t="str">
        <f t="shared" si="0"/>
        <v>Sports</v>
      </c>
      <c r="F19" s="15" t="s">
        <v>342</v>
      </c>
      <c r="G19" s="15" t="s">
        <v>337</v>
      </c>
    </row>
    <row r="20" spans="2:7" ht="15" thickBot="1" x14ac:dyDescent="0.25">
      <c r="B20" s="15" t="s">
        <v>343</v>
      </c>
      <c r="C20" s="110" t="s">
        <v>344</v>
      </c>
      <c r="D20" s="108" t="str">
        <f t="shared" si="0"/>
        <v>Role-Playing</v>
      </c>
      <c r="F20" s="15" t="s">
        <v>343</v>
      </c>
      <c r="G20" s="15" t="s">
        <v>345</v>
      </c>
    </row>
    <row r="21" spans="2:7" ht="15" thickBot="1" x14ac:dyDescent="0.25">
      <c r="B21" s="15" t="s">
        <v>346</v>
      </c>
      <c r="C21" s="110" t="s">
        <v>344</v>
      </c>
      <c r="D21" s="108" t="str">
        <f t="shared" si="0"/>
        <v>Puzzle</v>
      </c>
      <c r="F21" s="15" t="s">
        <v>346</v>
      </c>
      <c r="G21" s="15" t="s">
        <v>347</v>
      </c>
    </row>
    <row r="22" spans="2:7" ht="15" thickBot="1" x14ac:dyDescent="0.25">
      <c r="B22" s="15" t="s">
        <v>348</v>
      </c>
      <c r="C22" s="110" t="s">
        <v>349</v>
      </c>
      <c r="D22" s="108" t="str">
        <f t="shared" si="0"/>
        <v>Platform</v>
      </c>
      <c r="F22" s="15" t="s">
        <v>348</v>
      </c>
      <c r="G22" s="15" t="s">
        <v>332</v>
      </c>
    </row>
    <row r="23" spans="2:7" x14ac:dyDescent="0.2">
      <c r="B23"/>
    </row>
    <row r="24" spans="2:7" customFormat="1" x14ac:dyDescent="0.2"/>
    <row r="25" spans="2:7" customFormat="1" x14ac:dyDescent="0.2"/>
    <row r="26" spans="2:7" customFormat="1" x14ac:dyDescent="0.2"/>
    <row r="27" spans="2:7" customFormat="1" x14ac:dyDescent="0.2"/>
    <row r="28" spans="2:7" customFormat="1" x14ac:dyDescent="0.2"/>
    <row r="29" spans="2:7" customFormat="1" x14ac:dyDescent="0.2"/>
    <row r="30" spans="2:7" customFormat="1" x14ac:dyDescent="0.2"/>
    <row r="31" spans="2:7" customFormat="1" x14ac:dyDescent="0.2"/>
    <row r="32" spans="2:7" customFormat="1" x14ac:dyDescent="0.2"/>
    <row r="33" spans="2:9" customFormat="1" ht="15" x14ac:dyDescent="0.25">
      <c r="B33" s="4" t="s">
        <v>943</v>
      </c>
      <c r="C33" s="2"/>
      <c r="D33" s="2"/>
      <c r="E33" s="2"/>
      <c r="F33" s="2"/>
      <c r="G33" s="2"/>
      <c r="H33" s="2"/>
      <c r="I33" s="2"/>
    </row>
    <row r="34" spans="2:9" customFormat="1" x14ac:dyDescent="0.2">
      <c r="B34" s="2"/>
      <c r="C34" s="2"/>
      <c r="D34" s="2"/>
      <c r="E34" s="2"/>
      <c r="F34" s="2"/>
      <c r="G34" s="2"/>
      <c r="H34" s="2"/>
      <c r="I34" s="2"/>
    </row>
    <row r="35" spans="2:9" customFormat="1" ht="15" x14ac:dyDescent="0.25">
      <c r="B35" s="21" t="s">
        <v>923</v>
      </c>
      <c r="C35" s="21" t="s">
        <v>924</v>
      </c>
      <c r="D35" s="21" t="s">
        <v>925</v>
      </c>
      <c r="E35" s="21" t="s">
        <v>926</v>
      </c>
      <c r="F35" s="21" t="s">
        <v>927</v>
      </c>
      <c r="G35" s="21" t="s">
        <v>928</v>
      </c>
      <c r="H35" s="2"/>
      <c r="I35" s="21" t="s">
        <v>945</v>
      </c>
    </row>
    <row r="36" spans="2:9" customFormat="1" x14ac:dyDescent="0.2">
      <c r="B36" s="50">
        <v>44627</v>
      </c>
      <c r="C36" s="15" t="s">
        <v>929</v>
      </c>
      <c r="D36" s="15" t="s">
        <v>930</v>
      </c>
      <c r="E36" s="15">
        <v>20</v>
      </c>
      <c r="F36" s="15">
        <v>13</v>
      </c>
      <c r="G36" s="15">
        <v>260</v>
      </c>
      <c r="H36" s="2"/>
      <c r="I36" s="42" t="e">
        <f>AVERAGEIF(D35:D47,"Beverages",G35:G47)</f>
        <v>#DIV/0!</v>
      </c>
    </row>
    <row r="37" spans="2:9" customFormat="1" x14ac:dyDescent="0.2">
      <c r="B37" s="50" t="s">
        <v>931</v>
      </c>
      <c r="C37" s="15" t="s">
        <v>932</v>
      </c>
      <c r="D37" s="15" t="s">
        <v>930</v>
      </c>
      <c r="E37" s="15">
        <v>20</v>
      </c>
      <c r="F37" s="15">
        <v>15</v>
      </c>
      <c r="G37" s="15">
        <v>300</v>
      </c>
      <c r="H37" s="2"/>
      <c r="I37" s="2"/>
    </row>
    <row r="38" spans="2:9" customFormat="1" x14ac:dyDescent="0.2">
      <c r="B38" s="50" t="s">
        <v>933</v>
      </c>
      <c r="C38" s="15" t="s">
        <v>932</v>
      </c>
      <c r="D38" s="15" t="s">
        <v>930</v>
      </c>
      <c r="E38" s="15">
        <v>20</v>
      </c>
      <c r="F38" s="15">
        <v>1</v>
      </c>
      <c r="G38" s="15">
        <v>20</v>
      </c>
      <c r="H38" s="2"/>
      <c r="I38" s="2">
        <v>0</v>
      </c>
    </row>
    <row r="39" spans="2:9" customFormat="1" x14ac:dyDescent="0.2">
      <c r="B39" s="50">
        <v>44987</v>
      </c>
      <c r="C39" s="15" t="s">
        <v>934</v>
      </c>
      <c r="D39" s="15" t="s">
        <v>930</v>
      </c>
      <c r="E39" s="15">
        <v>25</v>
      </c>
      <c r="F39" s="15">
        <v>6</v>
      </c>
      <c r="G39" s="15">
        <v>150</v>
      </c>
      <c r="H39" s="2"/>
      <c r="I39" s="2">
        <v>0</v>
      </c>
    </row>
    <row r="40" spans="2:9" customFormat="1" x14ac:dyDescent="0.2">
      <c r="B40" s="50">
        <v>44602</v>
      </c>
      <c r="C40" s="15" t="s">
        <v>934</v>
      </c>
      <c r="D40" s="15" t="s">
        <v>930</v>
      </c>
      <c r="E40" s="15">
        <v>25</v>
      </c>
      <c r="F40" s="15">
        <v>8</v>
      </c>
      <c r="G40" s="15">
        <v>200</v>
      </c>
      <c r="H40" s="2"/>
      <c r="I40" s="2">
        <v>0</v>
      </c>
    </row>
    <row r="41" spans="2:9" customFormat="1" x14ac:dyDescent="0.2">
      <c r="B41" s="50" t="s">
        <v>937</v>
      </c>
      <c r="C41" s="15" t="s">
        <v>932</v>
      </c>
      <c r="D41" s="15" t="s">
        <v>930</v>
      </c>
      <c r="E41" s="15">
        <v>20</v>
      </c>
      <c r="F41" s="15">
        <v>10</v>
      </c>
      <c r="G41" s="15">
        <v>200</v>
      </c>
      <c r="H41" s="2"/>
      <c r="I41" s="2" t="e">
        <f>(I38+I39+I40)/0</f>
        <v>#DIV/0!</v>
      </c>
    </row>
    <row r="42" spans="2:9" customFormat="1" x14ac:dyDescent="0.2">
      <c r="B42" s="50">
        <v>44625</v>
      </c>
      <c r="C42" s="15" t="s">
        <v>934</v>
      </c>
      <c r="D42" s="15" t="s">
        <v>930</v>
      </c>
      <c r="E42" s="15">
        <v>25</v>
      </c>
      <c r="F42" s="15">
        <v>9</v>
      </c>
      <c r="G42" s="15">
        <v>225</v>
      </c>
      <c r="H42" s="2"/>
      <c r="I42" s="2"/>
    </row>
    <row r="43" spans="2:9" customFormat="1" x14ac:dyDescent="0.2">
      <c r="B43" s="50" t="s">
        <v>938</v>
      </c>
      <c r="C43" s="15" t="s">
        <v>939</v>
      </c>
      <c r="D43" s="15" t="s">
        <v>930</v>
      </c>
      <c r="E43" s="15">
        <v>20</v>
      </c>
      <c r="F43" s="15">
        <v>14</v>
      </c>
      <c r="G43" s="15">
        <v>280</v>
      </c>
      <c r="H43" s="2"/>
      <c r="I43" s="2"/>
    </row>
    <row r="44" spans="2:9" customFormat="1" x14ac:dyDescent="0.2">
      <c r="B44" s="50">
        <v>44840</v>
      </c>
      <c r="C44" s="15" t="s">
        <v>939</v>
      </c>
      <c r="D44" s="15" t="s">
        <v>930</v>
      </c>
      <c r="E44" s="15">
        <v>20</v>
      </c>
      <c r="F44" s="15">
        <v>1</v>
      </c>
      <c r="G44" s="15">
        <v>20</v>
      </c>
      <c r="H44" s="2"/>
      <c r="I44" s="2"/>
    </row>
    <row r="45" spans="2:9" customFormat="1" x14ac:dyDescent="0.2"/>
    <row r="46" spans="2:9" customFormat="1" x14ac:dyDescent="0.2"/>
    <row r="47" spans="2:9" customFormat="1" x14ac:dyDescent="0.2"/>
    <row r="48" spans="2:9" customFormat="1" x14ac:dyDescent="0.2"/>
    <row r="49" spans="2:9" customFormat="1" x14ac:dyDescent="0.2"/>
    <row r="50" spans="2:9" customFormat="1" x14ac:dyDescent="0.2"/>
    <row r="51" spans="2:9" customFormat="1" x14ac:dyDescent="0.2"/>
    <row r="52" spans="2:9" ht="15" x14ac:dyDescent="0.25">
      <c r="B52" s="4" t="s">
        <v>943</v>
      </c>
    </row>
    <row r="54" spans="2:9" ht="15" x14ac:dyDescent="0.25">
      <c r="B54" s="21" t="s">
        <v>923</v>
      </c>
      <c r="C54" s="21" t="s">
        <v>924</v>
      </c>
      <c r="D54" s="21" t="s">
        <v>925</v>
      </c>
      <c r="E54" s="21" t="s">
        <v>926</v>
      </c>
      <c r="F54" s="21" t="s">
        <v>927</v>
      </c>
      <c r="G54" s="21" t="s">
        <v>928</v>
      </c>
      <c r="I54" s="21" t="s">
        <v>945</v>
      </c>
    </row>
    <row r="55" spans="2:9" x14ac:dyDescent="0.2">
      <c r="B55" s="50">
        <v>44627</v>
      </c>
      <c r="C55" s="15" t="s">
        <v>929</v>
      </c>
      <c r="D55" s="15" t="s">
        <v>930</v>
      </c>
      <c r="E55" s="15">
        <v>20</v>
      </c>
      <c r="F55" s="15">
        <v>13</v>
      </c>
      <c r="G55" s="15">
        <v>260</v>
      </c>
      <c r="I55" s="42" t="e" cm="1">
        <f t="array" aca="1" ref="I55" ca="1">PROMEDIOSI(D54:D66,"Beverages",G54:G66)</f>
        <v>#NAME?</v>
      </c>
    </row>
    <row r="56" spans="2:9" x14ac:dyDescent="0.2">
      <c r="B56" s="50" t="s">
        <v>931</v>
      </c>
      <c r="C56" s="15" t="s">
        <v>932</v>
      </c>
      <c r="D56" s="15" t="s">
        <v>930</v>
      </c>
      <c r="E56" s="15">
        <v>20</v>
      </c>
      <c r="F56" s="15">
        <v>15</v>
      </c>
      <c r="G56" s="15">
        <v>300</v>
      </c>
    </row>
    <row r="57" spans="2:9" x14ac:dyDescent="0.2">
      <c r="B57" s="50" t="s">
        <v>933</v>
      </c>
      <c r="C57" s="15" t="s">
        <v>932</v>
      </c>
      <c r="D57" s="15" t="s">
        <v>935</v>
      </c>
      <c r="E57" s="15">
        <v>20</v>
      </c>
      <c r="F57" s="15">
        <v>1</v>
      </c>
      <c r="G57" s="15">
        <v>20</v>
      </c>
    </row>
    <row r="58" spans="2:9" x14ac:dyDescent="0.2">
      <c r="B58" s="50">
        <v>44987</v>
      </c>
      <c r="C58" s="15" t="s">
        <v>934</v>
      </c>
      <c r="D58" s="15" t="s">
        <v>930</v>
      </c>
      <c r="E58" s="15">
        <v>25</v>
      </c>
      <c r="F58" s="15">
        <v>6</v>
      </c>
      <c r="G58" s="15">
        <v>150</v>
      </c>
    </row>
    <row r="59" spans="2:9" x14ac:dyDescent="0.2">
      <c r="B59" s="50">
        <v>44602</v>
      </c>
      <c r="C59" s="15" t="s">
        <v>934</v>
      </c>
      <c r="D59" s="15" t="s">
        <v>930</v>
      </c>
      <c r="E59" s="15">
        <v>25</v>
      </c>
      <c r="F59" s="15">
        <v>8</v>
      </c>
      <c r="G59" s="15">
        <v>200</v>
      </c>
    </row>
    <row r="60" spans="2:9" x14ac:dyDescent="0.2">
      <c r="B60" s="50" t="s">
        <v>937</v>
      </c>
      <c r="C60" s="15" t="s">
        <v>932</v>
      </c>
      <c r="D60" s="15" t="s">
        <v>935</v>
      </c>
      <c r="E60" s="15">
        <v>20</v>
      </c>
      <c r="F60" s="15">
        <v>10</v>
      </c>
      <c r="G60" s="15">
        <v>200</v>
      </c>
    </row>
    <row r="61" spans="2:9" customFormat="1" x14ac:dyDescent="0.2">
      <c r="B61" s="50">
        <v>44625</v>
      </c>
      <c r="C61" s="15" t="s">
        <v>934</v>
      </c>
      <c r="D61" s="15" t="s">
        <v>930</v>
      </c>
      <c r="E61" s="15">
        <v>25</v>
      </c>
      <c r="F61" s="15">
        <v>9</v>
      </c>
      <c r="G61" s="15">
        <v>225</v>
      </c>
      <c r="H61" s="2"/>
      <c r="I61" s="2"/>
    </row>
    <row r="62" spans="2:9" customFormat="1" x14ac:dyDescent="0.2">
      <c r="B62" s="50" t="s">
        <v>938</v>
      </c>
      <c r="C62" s="15" t="s">
        <v>939</v>
      </c>
      <c r="D62" s="15" t="s">
        <v>930</v>
      </c>
      <c r="E62" s="15">
        <v>20</v>
      </c>
      <c r="F62" s="15">
        <v>14</v>
      </c>
      <c r="G62" s="15">
        <v>280</v>
      </c>
      <c r="H62" s="2"/>
      <c r="I62" s="2"/>
    </row>
    <row r="63" spans="2:9" customFormat="1" x14ac:dyDescent="0.2">
      <c r="B63" s="50">
        <v>44840</v>
      </c>
      <c r="C63" s="15" t="s">
        <v>939</v>
      </c>
      <c r="D63" s="15" t="s">
        <v>930</v>
      </c>
      <c r="E63" s="15">
        <v>20</v>
      </c>
      <c r="F63" s="15">
        <v>1</v>
      </c>
      <c r="G63" s="15">
        <v>20</v>
      </c>
      <c r="H63" s="2"/>
      <c r="I63" s="2"/>
    </row>
    <row r="64" spans="2:9" customFormat="1" x14ac:dyDescent="0.2"/>
    <row r="65" spans="2:2" customFormat="1" x14ac:dyDescent="0.2"/>
    <row r="66" spans="2:2" customFormat="1" x14ac:dyDescent="0.2"/>
    <row r="67" spans="2:2" customFormat="1" x14ac:dyDescent="0.2"/>
    <row r="68" spans="2:2" customFormat="1" x14ac:dyDescent="0.2"/>
    <row r="69" spans="2:2" customFormat="1" x14ac:dyDescent="0.2"/>
    <row r="70" spans="2:2" customFormat="1" x14ac:dyDescent="0.2"/>
    <row r="72" spans="2:2" ht="15" thickBot="1" x14ac:dyDescent="0.25"/>
    <row r="73" spans="2:2" ht="15.75" thickBot="1" x14ac:dyDescent="0.3">
      <c r="B73" s="96" t="s">
        <v>1203</v>
      </c>
    </row>
    <row r="74" spans="2:2" ht="15" thickBot="1" x14ac:dyDescent="0.25">
      <c r="B74" s="108">
        <f ca="1">B74*10</f>
        <v>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049D-D34A-426B-8DF0-02A378EA2467}">
  <dimension ref="B20:J51"/>
  <sheetViews>
    <sheetView showGridLines="0" zoomScale="90" zoomScaleNormal="90" workbookViewId="0">
      <pane ySplit="3" topLeftCell="A4" activePane="bottomLeft" state="frozen"/>
      <selection pane="bottomLeft" activeCell="H23" sqref="H23"/>
    </sheetView>
  </sheetViews>
  <sheetFormatPr baseColWidth="10" defaultColWidth="11.5" defaultRowHeight="14.25" x14ac:dyDescent="0.2"/>
  <cols>
    <col min="1" max="1" width="1.5" style="2" customWidth="1"/>
    <col min="2" max="2" width="18.5" style="2" customWidth="1"/>
    <col min="3" max="3" width="11.25" style="2" customWidth="1"/>
    <col min="4" max="4" width="10.875" style="2" bestFit="1" customWidth="1"/>
    <col min="5" max="5" width="13.75" style="2" customWidth="1"/>
    <col min="6" max="8" width="11.5" style="2"/>
    <col min="9" max="9" width="19.875" style="2" bestFit="1" customWidth="1"/>
    <col min="10" max="10" width="15.25" style="2" bestFit="1" customWidth="1"/>
    <col min="11" max="11" width="10.875" style="2" bestFit="1" customWidth="1"/>
    <col min="12" max="12" width="9.5" style="2" bestFit="1" customWidth="1"/>
    <col min="13" max="16384" width="11.5" style="2"/>
  </cols>
  <sheetData>
    <row r="20" spans="2:9" ht="15" x14ac:dyDescent="0.25">
      <c r="B20" s="4" t="s">
        <v>943</v>
      </c>
    </row>
    <row r="22" spans="2:9" ht="15" x14ac:dyDescent="0.25">
      <c r="B22" s="21" t="s">
        <v>923</v>
      </c>
      <c r="C22" s="21" t="s">
        <v>924</v>
      </c>
      <c r="D22" s="21" t="s">
        <v>925</v>
      </c>
      <c r="E22" s="21" t="s">
        <v>926</v>
      </c>
      <c r="F22" s="21" t="s">
        <v>927</v>
      </c>
      <c r="G22" s="21" t="s">
        <v>928</v>
      </c>
      <c r="H22" s="21" t="s">
        <v>1002</v>
      </c>
      <c r="I22"/>
    </row>
    <row r="23" spans="2:9" customFormat="1" x14ac:dyDescent="0.2">
      <c r="B23" s="50">
        <v>44627</v>
      </c>
      <c r="C23" s="15" t="s">
        <v>929</v>
      </c>
      <c r="D23" s="15" t="s">
        <v>930</v>
      </c>
      <c r="E23" s="15">
        <v>20</v>
      </c>
      <c r="F23" s="15">
        <v>13</v>
      </c>
      <c r="G23" s="15">
        <v>260</v>
      </c>
      <c r="H23" s="17">
        <f>IFERROR(DAY(B23),
_xlfn.CONCAT(
MID(B23,FIND("/",B23),2),"/",
MID(B23,1,2),"/",
MID(B23,7,4)))</f>
        <v>7</v>
      </c>
    </row>
    <row r="24" spans="2:9" customFormat="1" x14ac:dyDescent="0.2">
      <c r="B24" s="50" t="s">
        <v>931</v>
      </c>
      <c r="C24" s="15" t="s">
        <v>932</v>
      </c>
      <c r="D24" s="15" t="s">
        <v>930</v>
      </c>
      <c r="E24" s="15">
        <v>20</v>
      </c>
      <c r="F24" s="15">
        <v>15</v>
      </c>
      <c r="G24" s="15">
        <v>300</v>
      </c>
      <c r="H24" s="17" t="str">
        <f>IFERROR(DAY(B24),
_xlfn.CONCAT(
RIGHT(MID(B24,FIND("/",B24),3),2),"/",
MID(B24,1,2),"/",
MID(B24,7,4)))</f>
        <v>23/8//022</v>
      </c>
    </row>
    <row r="25" spans="2:9" customFormat="1" x14ac:dyDescent="0.2">
      <c r="B25" s="50" t="s">
        <v>933</v>
      </c>
      <c r="C25" s="15" t="s">
        <v>932</v>
      </c>
      <c r="D25" s="15" t="s">
        <v>930</v>
      </c>
      <c r="E25" s="15">
        <v>20</v>
      </c>
      <c r="F25" s="15">
        <v>1</v>
      </c>
      <c r="G25" s="15">
        <v>20</v>
      </c>
      <c r="H25" s="17" t="str">
        <f t="shared" ref="H25:H34" si="0">IFERROR(DAY(B25),_xlfn.CONCAT(MID(B25,FIND("/",B25),2),"/",MID(B25,1,2),"/",MID(B25,7,4)))</f>
        <v>/2/11/2022</v>
      </c>
    </row>
    <row r="26" spans="2:9" customFormat="1" x14ac:dyDescent="0.2">
      <c r="B26" s="50">
        <v>44987</v>
      </c>
      <c r="C26" s="15" t="s">
        <v>934</v>
      </c>
      <c r="D26" s="15" t="s">
        <v>935</v>
      </c>
      <c r="E26" s="15">
        <v>25</v>
      </c>
      <c r="F26" s="15">
        <v>6</v>
      </c>
      <c r="G26" s="15">
        <v>150</v>
      </c>
      <c r="H26" s="17">
        <f t="shared" si="0"/>
        <v>2</v>
      </c>
    </row>
    <row r="27" spans="2:9" customFormat="1" x14ac:dyDescent="0.2">
      <c r="B27" s="50">
        <v>44602</v>
      </c>
      <c r="C27" s="15" t="s">
        <v>934</v>
      </c>
      <c r="D27" s="15" t="s">
        <v>935</v>
      </c>
      <c r="E27" s="15">
        <v>25</v>
      </c>
      <c r="F27" s="15">
        <v>8</v>
      </c>
      <c r="G27" s="15">
        <v>200</v>
      </c>
      <c r="H27" s="17">
        <f t="shared" si="0"/>
        <v>10</v>
      </c>
    </row>
    <row r="28" spans="2:9" customFormat="1" x14ac:dyDescent="0.2">
      <c r="B28" s="50" t="s">
        <v>937</v>
      </c>
      <c r="C28" s="15" t="s">
        <v>932</v>
      </c>
      <c r="D28" s="15" t="s">
        <v>930</v>
      </c>
      <c r="E28" s="15">
        <v>20</v>
      </c>
      <c r="F28" s="15">
        <v>10</v>
      </c>
      <c r="G28" s="15">
        <v>200</v>
      </c>
      <c r="H28" s="17" t="str">
        <f t="shared" si="0"/>
        <v>/1/11/2022</v>
      </c>
    </row>
    <row r="29" spans="2:9" customFormat="1" x14ac:dyDescent="0.2">
      <c r="B29" s="50">
        <v>44625</v>
      </c>
      <c r="C29" s="15" t="s">
        <v>934</v>
      </c>
      <c r="D29" s="15" t="s">
        <v>935</v>
      </c>
      <c r="E29" s="15">
        <v>25</v>
      </c>
      <c r="F29" s="15">
        <v>9</v>
      </c>
      <c r="G29" s="15">
        <v>225</v>
      </c>
      <c r="H29" s="17">
        <f t="shared" si="0"/>
        <v>5</v>
      </c>
    </row>
    <row r="30" spans="2:9" customFormat="1" x14ac:dyDescent="0.2">
      <c r="B30" s="50" t="s">
        <v>938</v>
      </c>
      <c r="C30" s="15" t="s">
        <v>939</v>
      </c>
      <c r="D30" s="15" t="s">
        <v>930</v>
      </c>
      <c r="E30" s="15">
        <v>20</v>
      </c>
      <c r="F30" s="15">
        <v>14</v>
      </c>
      <c r="G30" s="15">
        <v>280</v>
      </c>
      <c r="H30" s="17" t="str">
        <f t="shared" si="0"/>
        <v>/2/12/2022</v>
      </c>
    </row>
    <row r="31" spans="2:9" customFormat="1" x14ac:dyDescent="0.2">
      <c r="B31" s="50">
        <v>44840</v>
      </c>
      <c r="C31" s="15" t="s">
        <v>939</v>
      </c>
      <c r="D31" s="15" t="s">
        <v>930</v>
      </c>
      <c r="E31" s="15">
        <v>20</v>
      </c>
      <c r="F31" s="15">
        <v>1</v>
      </c>
      <c r="G31" s="15">
        <v>20</v>
      </c>
      <c r="H31" s="17">
        <f t="shared" si="0"/>
        <v>6</v>
      </c>
    </row>
    <row r="32" spans="2:9" customFormat="1" x14ac:dyDescent="0.2">
      <c r="B32" s="50" t="s">
        <v>940</v>
      </c>
      <c r="C32" s="15" t="s">
        <v>939</v>
      </c>
      <c r="D32" s="15" t="s">
        <v>930</v>
      </c>
      <c r="E32" s="15">
        <v>20</v>
      </c>
      <c r="F32" s="15">
        <v>5</v>
      </c>
      <c r="G32" s="15">
        <v>100</v>
      </c>
      <c r="H32" s="17" t="str">
        <f t="shared" si="0"/>
        <v>/1/9//022</v>
      </c>
    </row>
    <row r="33" spans="2:10" customFormat="1" x14ac:dyDescent="0.2">
      <c r="B33" s="50">
        <v>44573</v>
      </c>
      <c r="C33" s="15" t="s">
        <v>941</v>
      </c>
      <c r="D33" s="15" t="s">
        <v>930</v>
      </c>
      <c r="E33" s="15">
        <v>50</v>
      </c>
      <c r="F33" s="15">
        <v>8</v>
      </c>
      <c r="G33" s="15">
        <v>400</v>
      </c>
      <c r="H33" s="17">
        <f t="shared" si="0"/>
        <v>12</v>
      </c>
    </row>
    <row r="34" spans="2:10" x14ac:dyDescent="0.2">
      <c r="B34" s="50">
        <v>44902</v>
      </c>
      <c r="C34" s="15" t="s">
        <v>932</v>
      </c>
      <c r="D34" s="15" t="s">
        <v>930</v>
      </c>
      <c r="E34" s="15">
        <v>20</v>
      </c>
      <c r="F34" s="15">
        <v>8</v>
      </c>
      <c r="G34" s="15">
        <v>160</v>
      </c>
      <c r="H34" s="17">
        <f t="shared" si="0"/>
        <v>7</v>
      </c>
      <c r="I34"/>
      <c r="J34"/>
    </row>
    <row r="37" spans="2:10" ht="15" x14ac:dyDescent="0.25">
      <c r="B37" s="4"/>
    </row>
    <row r="43" spans="2:10" customFormat="1" x14ac:dyDescent="0.2"/>
    <row r="44" spans="2:10" customFormat="1" x14ac:dyDescent="0.2"/>
    <row r="45" spans="2:10" customFormat="1" x14ac:dyDescent="0.2"/>
    <row r="46" spans="2:10" customFormat="1" x14ac:dyDescent="0.2"/>
    <row r="47" spans="2:10" customFormat="1" x14ac:dyDescent="0.2"/>
    <row r="48" spans="2:10" customFormat="1" x14ac:dyDescent="0.2"/>
    <row r="49" customFormat="1" x14ac:dyDescent="0.2"/>
    <row r="50" customFormat="1" x14ac:dyDescent="0.2"/>
    <row r="51" customFormat="1" x14ac:dyDescent="0.2"/>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708-F1DD-4DC7-949B-725DABDD4701}">
  <dimension ref="B14:L109"/>
  <sheetViews>
    <sheetView showGridLines="0" zoomScale="90" zoomScaleNormal="90" workbookViewId="0">
      <pane ySplit="3" topLeftCell="A106" activePane="bottomLeft" state="frozen"/>
      <selection pane="bottomLeft" activeCell="K69" sqref="K69"/>
    </sheetView>
  </sheetViews>
  <sheetFormatPr baseColWidth="10" defaultColWidth="11.5" defaultRowHeight="14.25" x14ac:dyDescent="0.2"/>
  <cols>
    <col min="1" max="1" width="1.5" style="2" customWidth="1"/>
    <col min="2" max="2" width="28" style="2" customWidth="1"/>
    <col min="3" max="7" width="5.25" style="2" hidden="1" customWidth="1"/>
    <col min="8" max="8" width="21.5" style="2" customWidth="1"/>
    <col min="9" max="9" width="31.25" style="2" bestFit="1" customWidth="1"/>
    <col min="10" max="10" width="15.25" style="2" bestFit="1" customWidth="1"/>
    <col min="11" max="11" width="10.875" style="2" bestFit="1" customWidth="1"/>
    <col min="12" max="12" width="9.5" style="2" bestFit="1" customWidth="1"/>
    <col min="13" max="16384" width="11.5" style="2"/>
  </cols>
  <sheetData>
    <row r="14" spans="2:2" ht="15" x14ac:dyDescent="0.25">
      <c r="B14" s="4" t="s">
        <v>1025</v>
      </c>
    </row>
    <row r="15" spans="2:2" x14ac:dyDescent="0.2">
      <c r="B15" s="2" t="s">
        <v>1026</v>
      </c>
    </row>
    <row r="17" spans="2:5" ht="15" x14ac:dyDescent="0.25">
      <c r="B17" s="21" t="s">
        <v>1027</v>
      </c>
      <c r="C17" s="21" t="s">
        <v>1028</v>
      </c>
      <c r="D17" s="21" t="s">
        <v>1029</v>
      </c>
      <c r="E17" s="21" t="s">
        <v>1212</v>
      </c>
    </row>
    <row r="18" spans="2:5" x14ac:dyDescent="0.2">
      <c r="B18" s="15" t="s">
        <v>1032</v>
      </c>
      <c r="C18" s="15" t="s">
        <v>1033</v>
      </c>
      <c r="D18" s="15" t="s">
        <v>1214</v>
      </c>
      <c r="E18" s="15" t="str">
        <f>_xlfn.TEXTBEFORE(D18,"-")</f>
        <v>WARE 1</v>
      </c>
    </row>
    <row r="19" spans="2:5" x14ac:dyDescent="0.2">
      <c r="B19" s="15" t="s">
        <v>1035</v>
      </c>
      <c r="C19" s="15" t="s">
        <v>936</v>
      </c>
      <c r="D19" s="15" t="s">
        <v>1215</v>
      </c>
      <c r="E19" s="15" t="str">
        <f t="shared" ref="E19:E30" si="0">_xlfn.TEXTBEFORE(D19,"-")</f>
        <v>WARE 687</v>
      </c>
    </row>
    <row r="20" spans="2:5" x14ac:dyDescent="0.2">
      <c r="B20" s="15" t="s">
        <v>1037</v>
      </c>
      <c r="C20" s="15" t="s">
        <v>1038</v>
      </c>
      <c r="D20" s="15" t="s">
        <v>1216</v>
      </c>
      <c r="E20" s="15" t="str">
        <f t="shared" si="0"/>
        <v>WARE 857</v>
      </c>
    </row>
    <row r="21" spans="2:5" x14ac:dyDescent="0.2">
      <c r="B21" s="15" t="s">
        <v>1039</v>
      </c>
      <c r="C21" s="15" t="s">
        <v>1040</v>
      </c>
      <c r="D21" s="15" t="s">
        <v>1207</v>
      </c>
      <c r="E21" s="15" t="str">
        <f t="shared" si="0"/>
        <v>WARE</v>
      </c>
    </row>
    <row r="22" spans="2:5" x14ac:dyDescent="0.2">
      <c r="B22" s="15" t="s">
        <v>1041</v>
      </c>
      <c r="C22" s="15" t="s">
        <v>1038</v>
      </c>
      <c r="D22" s="15" t="s">
        <v>1036</v>
      </c>
      <c r="E22" s="15" t="str">
        <f t="shared" si="0"/>
        <v>WARE</v>
      </c>
    </row>
    <row r="23" spans="2:5" x14ac:dyDescent="0.2">
      <c r="B23" s="15" t="s">
        <v>1042</v>
      </c>
      <c r="C23" s="15" t="s">
        <v>936</v>
      </c>
      <c r="D23" s="15" t="s">
        <v>1208</v>
      </c>
      <c r="E23" s="15" t="str">
        <f t="shared" si="0"/>
        <v>WARE</v>
      </c>
    </row>
    <row r="24" spans="2:5" x14ac:dyDescent="0.2">
      <c r="B24" s="15" t="s">
        <v>1044</v>
      </c>
      <c r="C24" s="15" t="s">
        <v>1033</v>
      </c>
      <c r="D24" s="15" t="s">
        <v>1045</v>
      </c>
      <c r="E24" s="15" t="str">
        <f t="shared" si="0"/>
        <v>WARE</v>
      </c>
    </row>
    <row r="25" spans="2:5" x14ac:dyDescent="0.2">
      <c r="B25" s="15" t="s">
        <v>1046</v>
      </c>
      <c r="C25" s="15" t="s">
        <v>1033</v>
      </c>
      <c r="D25" s="15" t="s">
        <v>1217</v>
      </c>
      <c r="E25" s="15" t="str">
        <f t="shared" si="0"/>
        <v>WARE 88</v>
      </c>
    </row>
    <row r="26" spans="2:5" x14ac:dyDescent="0.2">
      <c r="B26" s="15" t="s">
        <v>1047</v>
      </c>
      <c r="C26" s="15" t="s">
        <v>1033</v>
      </c>
      <c r="D26" s="15" t="s">
        <v>1209</v>
      </c>
      <c r="E26" s="15" t="str">
        <f t="shared" si="0"/>
        <v>WARE</v>
      </c>
    </row>
    <row r="27" spans="2:5" x14ac:dyDescent="0.2">
      <c r="B27" s="15" t="s">
        <v>1048</v>
      </c>
      <c r="C27" s="15" t="s">
        <v>1033</v>
      </c>
      <c r="D27" s="15" t="s">
        <v>1210</v>
      </c>
      <c r="E27" s="15" t="str">
        <f t="shared" si="0"/>
        <v>WARE</v>
      </c>
    </row>
    <row r="28" spans="2:5" x14ac:dyDescent="0.2">
      <c r="B28" s="15" t="s">
        <v>1049</v>
      </c>
      <c r="C28" s="15" t="s">
        <v>1038</v>
      </c>
      <c r="D28" s="15" t="s">
        <v>1045</v>
      </c>
      <c r="E28" s="15" t="str">
        <f t="shared" si="0"/>
        <v>WARE</v>
      </c>
    </row>
    <row r="29" spans="2:5" x14ac:dyDescent="0.2">
      <c r="B29" s="15" t="s">
        <v>1050</v>
      </c>
      <c r="C29" s="15" t="s">
        <v>1033</v>
      </c>
      <c r="D29" s="15" t="s">
        <v>1211</v>
      </c>
      <c r="E29" s="15" t="str">
        <f t="shared" si="0"/>
        <v>WARE</v>
      </c>
    </row>
    <row r="30" spans="2:5" x14ac:dyDescent="0.2">
      <c r="B30" s="15" t="s">
        <v>1051</v>
      </c>
      <c r="C30" s="15" t="s">
        <v>1033</v>
      </c>
      <c r="D30" s="15" t="s">
        <v>1043</v>
      </c>
      <c r="E30" s="15" t="str">
        <f t="shared" si="0"/>
        <v>WARE</v>
      </c>
    </row>
    <row r="42" spans="2:5" ht="15" x14ac:dyDescent="0.25">
      <c r="B42" s="4" t="s">
        <v>1025</v>
      </c>
    </row>
    <row r="43" spans="2:5" x14ac:dyDescent="0.2">
      <c r="B43" s="2" t="s">
        <v>1026</v>
      </c>
    </row>
    <row r="45" spans="2:5" ht="15" x14ac:dyDescent="0.25">
      <c r="B45" s="21" t="s">
        <v>1027</v>
      </c>
      <c r="C45" s="21" t="s">
        <v>1028</v>
      </c>
      <c r="D45" s="21" t="s">
        <v>1029</v>
      </c>
      <c r="E45" s="21" t="s">
        <v>1213</v>
      </c>
    </row>
    <row r="46" spans="2:5" x14ac:dyDescent="0.2">
      <c r="B46" s="15" t="s">
        <v>1032</v>
      </c>
      <c r="C46" s="15" t="s">
        <v>1033</v>
      </c>
      <c r="D46" s="15" t="s">
        <v>1214</v>
      </c>
      <c r="E46" s="15" t="str">
        <f>_xlfn.TEXTAFTER(D46,"-")</f>
        <v>UHY100456</v>
      </c>
    </row>
    <row r="47" spans="2:5" x14ac:dyDescent="0.2">
      <c r="B47" s="15" t="s">
        <v>1035</v>
      </c>
      <c r="C47" s="15" t="s">
        <v>936</v>
      </c>
      <c r="D47" s="15" t="s">
        <v>1215</v>
      </c>
      <c r="E47" s="15" t="str">
        <f t="shared" ref="E47:E58" si="1">_xlfn.TEXTAFTER(D47,"-")</f>
        <v>NMK1003</v>
      </c>
    </row>
    <row r="48" spans="2:5" x14ac:dyDescent="0.2">
      <c r="B48" s="15" t="s">
        <v>1037</v>
      </c>
      <c r="C48" s="15" t="s">
        <v>1038</v>
      </c>
      <c r="D48" s="15" t="s">
        <v>1216</v>
      </c>
      <c r="E48" s="15" t="str">
        <f t="shared" si="1"/>
        <v>UHY1004</v>
      </c>
    </row>
    <row r="49" spans="2:9" x14ac:dyDescent="0.2">
      <c r="B49" s="15" t="s">
        <v>1039</v>
      </c>
      <c r="C49" s="15" t="s">
        <v>1040</v>
      </c>
      <c r="D49" s="15" t="s">
        <v>1207</v>
      </c>
      <c r="E49" s="15" t="str">
        <f t="shared" si="1"/>
        <v>NMK10036</v>
      </c>
    </row>
    <row r="50" spans="2:9" x14ac:dyDescent="0.2">
      <c r="B50" s="15" t="s">
        <v>1041</v>
      </c>
      <c r="C50" s="15" t="s">
        <v>1038</v>
      </c>
      <c r="D50" s="15" t="s">
        <v>1036</v>
      </c>
      <c r="E50" s="15" t="str">
        <f t="shared" si="1"/>
        <v>NMK1003</v>
      </c>
    </row>
    <row r="51" spans="2:9" x14ac:dyDescent="0.2">
      <c r="B51" s="15" t="s">
        <v>1042</v>
      </c>
      <c r="C51" s="15" t="s">
        <v>936</v>
      </c>
      <c r="D51" s="15" t="s">
        <v>1208</v>
      </c>
      <c r="E51" s="15" t="str">
        <f t="shared" si="1"/>
        <v>PUJ10059000</v>
      </c>
    </row>
    <row r="52" spans="2:9" x14ac:dyDescent="0.2">
      <c r="B52" s="15" t="s">
        <v>1044</v>
      </c>
      <c r="C52" s="15" t="s">
        <v>1033</v>
      </c>
      <c r="D52" s="15" t="s">
        <v>1045</v>
      </c>
      <c r="E52" s="15" t="str">
        <f t="shared" si="1"/>
        <v>XYS1001</v>
      </c>
    </row>
    <row r="53" spans="2:9" x14ac:dyDescent="0.2">
      <c r="B53" s="15" t="s">
        <v>1046</v>
      </c>
      <c r="C53" s="15" t="s">
        <v>1033</v>
      </c>
      <c r="D53" s="15" t="s">
        <v>1217</v>
      </c>
      <c r="E53" s="15" t="str">
        <f t="shared" si="1"/>
        <v>PUJ10</v>
      </c>
    </row>
    <row r="54" spans="2:9" x14ac:dyDescent="0.2">
      <c r="B54" s="15" t="s">
        <v>1047</v>
      </c>
      <c r="C54" s="15" t="s">
        <v>1033</v>
      </c>
      <c r="D54" s="15" t="s">
        <v>1209</v>
      </c>
      <c r="E54" s="15" t="str">
        <f t="shared" si="1"/>
        <v>PUJ100544</v>
      </c>
    </row>
    <row r="55" spans="2:9" x14ac:dyDescent="0.2">
      <c r="B55" s="15" t="s">
        <v>1048</v>
      </c>
      <c r="C55" s="15" t="s">
        <v>1033</v>
      </c>
      <c r="D55" s="15" t="s">
        <v>1210</v>
      </c>
      <c r="E55" s="15" t="str">
        <f t="shared" si="1"/>
        <v>UHY10</v>
      </c>
    </row>
    <row r="56" spans="2:9" x14ac:dyDescent="0.2">
      <c r="B56" s="15" t="s">
        <v>1049</v>
      </c>
      <c r="C56" s="15" t="s">
        <v>1038</v>
      </c>
      <c r="D56" s="15" t="s">
        <v>1045</v>
      </c>
      <c r="E56" s="15" t="str">
        <f t="shared" si="1"/>
        <v>XYS1001</v>
      </c>
    </row>
    <row r="57" spans="2:9" x14ac:dyDescent="0.2">
      <c r="B57" s="15" t="s">
        <v>1050</v>
      </c>
      <c r="C57" s="15" t="s">
        <v>1033</v>
      </c>
      <c r="D57" s="15" t="s">
        <v>1211</v>
      </c>
      <c r="E57" s="15" t="str">
        <f t="shared" si="1"/>
        <v>1</v>
      </c>
    </row>
    <row r="58" spans="2:9" x14ac:dyDescent="0.2">
      <c r="B58" s="15" t="s">
        <v>1051</v>
      </c>
      <c r="C58" s="15" t="s">
        <v>1033</v>
      </c>
      <c r="D58" s="15" t="s">
        <v>1043</v>
      </c>
      <c r="E58" s="15" t="str">
        <f t="shared" si="1"/>
        <v>PUJ1005</v>
      </c>
    </row>
    <row r="62" spans="2:9" ht="15" x14ac:dyDescent="0.25">
      <c r="B62" s="4" t="s">
        <v>943</v>
      </c>
    </row>
    <row r="63" spans="2:9" ht="15" thickBot="1" x14ac:dyDescent="0.25"/>
    <row r="64" spans="2:9" ht="15.75" thickBot="1" x14ac:dyDescent="0.3">
      <c r="B64" s="21" t="s">
        <v>923</v>
      </c>
      <c r="C64" s="21" t="s">
        <v>924</v>
      </c>
      <c r="D64" s="21" t="s">
        <v>925</v>
      </c>
      <c r="E64" s="21" t="s">
        <v>926</v>
      </c>
      <c r="F64" s="21" t="s">
        <v>927</v>
      </c>
      <c r="G64" s="21" t="s">
        <v>928</v>
      </c>
      <c r="H64" s="114" t="s">
        <v>1218</v>
      </c>
      <c r="I64" s="96" t="s">
        <v>1219</v>
      </c>
    </row>
    <row r="65" spans="2:9" ht="15" thickBot="1" x14ac:dyDescent="0.25">
      <c r="B65" s="50">
        <v>44627</v>
      </c>
      <c r="C65" s="15" t="s">
        <v>929</v>
      </c>
      <c r="D65" s="15" t="s">
        <v>930</v>
      </c>
      <c r="E65" s="15">
        <v>20</v>
      </c>
      <c r="F65" s="15">
        <v>13</v>
      </c>
      <c r="G65" s="15">
        <v>260</v>
      </c>
      <c r="H65" s="110">
        <f>IF(
ISNUMBER(B65),B65,
_xlfn.CONCAT(
_xlfn.TEXTBEFORE(_xlfn.TEXTAFTER(B65,"/"),"/"),"/",_xlfn.TEXTBEFORE(B65,"/"),"/",_xlfn.TEXTAFTER(B65,"/",2)
)
)</f>
        <v>44627</v>
      </c>
      <c r="I65" s="97">
        <f>IF(
ISNUMBER(B65),B65,
_xlfn.CONCAT(
MID(B65,FIND("/",B65)+1,2),"/",LEFT(B65,IF(FIND("/",B65)=2,1,2)),"/",RIGHT(B65,4)
)
)</f>
        <v>44627</v>
      </c>
    </row>
    <row r="66" spans="2:9" ht="15" thickBot="1" x14ac:dyDescent="0.25">
      <c r="B66" s="50" t="s">
        <v>931</v>
      </c>
      <c r="C66" s="15" t="s">
        <v>932</v>
      </c>
      <c r="D66" s="15" t="s">
        <v>930</v>
      </c>
      <c r="E66" s="15">
        <v>20</v>
      </c>
      <c r="F66" s="15">
        <v>15</v>
      </c>
      <c r="G66" s="15">
        <v>300</v>
      </c>
      <c r="H66" s="110" t="str">
        <f>IF(
ISNUMBER(B66),B66,
_xlfn.CONCAT(
_xlfn.TEXTBEFORE(_xlfn.TEXTAFTER(B66,"/"),"/"),"/",_xlfn.TEXTBEFORE(B66,"/"),"/",_xlfn.TEXTAFTER(B66,"/",2)
)
)</f>
        <v>23/8/2022</v>
      </c>
      <c r="I66" s="97" t="str">
        <f>IF(
ISNUMBER(B66),B66,
_xlfn.CONCAT(
MID(B66,FIND("/",B66)+1,2),"/",LEFT(B66,IF(FIND("/",B66)=2,1,2)),"/",RIGHT(B66,4)
)
)</f>
        <v>23/8/2022</v>
      </c>
    </row>
    <row r="67" spans="2:9" ht="15" thickBot="1" x14ac:dyDescent="0.25">
      <c r="B67" s="50" t="s">
        <v>933</v>
      </c>
      <c r="C67" s="15" t="s">
        <v>932</v>
      </c>
      <c r="D67" s="15" t="s">
        <v>930</v>
      </c>
      <c r="E67" s="15">
        <v>20</v>
      </c>
      <c r="F67" s="15">
        <v>1</v>
      </c>
      <c r="G67" s="15">
        <v>20</v>
      </c>
      <c r="H67" s="110" t="str">
        <f t="shared" ref="H67:H76" si="2">IF(
ISNUMBER(B67),B67,
_xlfn.CONCAT(
_xlfn.TEXTBEFORE(_xlfn.TEXTAFTER(B67,"/"),"/"),"/",_xlfn.TEXTBEFORE(B67,"/"),"/",_xlfn.TEXTAFTER(B67,"/",2)
)
)</f>
        <v>20/11/2022</v>
      </c>
      <c r="I67" s="97" t="str">
        <f t="shared" ref="I67:I76" si="3">IF(
ISNUMBER(B67),B67,
_xlfn.CONCAT(
MID(B67,FIND("/",B67)+1,2),"/",LEFT(B67,IF(FIND("/",B67)=2,1,2)),"/",RIGHT(B67,4)
)
)</f>
        <v>20/11/2022</v>
      </c>
    </row>
    <row r="68" spans="2:9" ht="15" thickBot="1" x14ac:dyDescent="0.25">
      <c r="B68" s="50">
        <v>44987</v>
      </c>
      <c r="C68" s="15" t="s">
        <v>934</v>
      </c>
      <c r="D68" s="15" t="s">
        <v>935</v>
      </c>
      <c r="E68" s="15">
        <v>25</v>
      </c>
      <c r="F68" s="15">
        <v>6</v>
      </c>
      <c r="G68" s="15">
        <v>150</v>
      </c>
      <c r="H68" s="110">
        <f t="shared" si="2"/>
        <v>44987</v>
      </c>
      <c r="I68" s="97">
        <f t="shared" si="3"/>
        <v>44987</v>
      </c>
    </row>
    <row r="69" spans="2:9" ht="15" thickBot="1" x14ac:dyDescent="0.25">
      <c r="B69" s="50">
        <v>44602</v>
      </c>
      <c r="C69" s="15" t="s">
        <v>934</v>
      </c>
      <c r="D69" s="15" t="s">
        <v>935</v>
      </c>
      <c r="E69" s="15">
        <v>25</v>
      </c>
      <c r="F69" s="15">
        <v>8</v>
      </c>
      <c r="G69" s="15">
        <v>200</v>
      </c>
      <c r="H69" s="110">
        <f t="shared" si="2"/>
        <v>44602</v>
      </c>
      <c r="I69" s="97">
        <f t="shared" si="3"/>
        <v>44602</v>
      </c>
    </row>
    <row r="70" spans="2:9" ht="15" thickBot="1" x14ac:dyDescent="0.25">
      <c r="B70" s="50" t="s">
        <v>937</v>
      </c>
      <c r="C70" s="15" t="s">
        <v>932</v>
      </c>
      <c r="D70" s="15" t="s">
        <v>930</v>
      </c>
      <c r="E70" s="15">
        <v>20</v>
      </c>
      <c r="F70" s="15">
        <v>10</v>
      </c>
      <c r="G70" s="15">
        <v>200</v>
      </c>
      <c r="H70" s="110" t="str">
        <f t="shared" si="2"/>
        <v>14/11/2022</v>
      </c>
      <c r="I70" s="97" t="str">
        <f t="shared" si="3"/>
        <v>14/11/2022</v>
      </c>
    </row>
    <row r="71" spans="2:9" ht="15" thickBot="1" x14ac:dyDescent="0.25">
      <c r="B71" s="50">
        <v>44625</v>
      </c>
      <c r="C71" s="15" t="s">
        <v>934</v>
      </c>
      <c r="D71" s="15" t="s">
        <v>935</v>
      </c>
      <c r="E71" s="15">
        <v>25</v>
      </c>
      <c r="F71" s="15">
        <v>9</v>
      </c>
      <c r="G71" s="15">
        <v>225</v>
      </c>
      <c r="H71" s="110">
        <f t="shared" si="2"/>
        <v>44625</v>
      </c>
      <c r="I71" s="97">
        <f t="shared" si="3"/>
        <v>44625</v>
      </c>
    </row>
    <row r="72" spans="2:9" ht="15" thickBot="1" x14ac:dyDescent="0.25">
      <c r="B72" s="50" t="s">
        <v>938</v>
      </c>
      <c r="C72" s="15" t="s">
        <v>939</v>
      </c>
      <c r="D72" s="15" t="s">
        <v>930</v>
      </c>
      <c r="E72" s="15">
        <v>20</v>
      </c>
      <c r="F72" s="15">
        <v>14</v>
      </c>
      <c r="G72" s="15">
        <v>280</v>
      </c>
      <c r="H72" s="110" t="str">
        <f t="shared" si="2"/>
        <v>22/12/2022</v>
      </c>
      <c r="I72" s="97" t="str">
        <f t="shared" si="3"/>
        <v>22/12/2022</v>
      </c>
    </row>
    <row r="73" spans="2:9" ht="15" thickBot="1" x14ac:dyDescent="0.25">
      <c r="B73" s="50">
        <v>44840</v>
      </c>
      <c r="C73" s="15" t="s">
        <v>939</v>
      </c>
      <c r="D73" s="15" t="s">
        <v>930</v>
      </c>
      <c r="E73" s="15">
        <v>20</v>
      </c>
      <c r="F73" s="15">
        <v>1</v>
      </c>
      <c r="G73" s="15">
        <v>20</v>
      </c>
      <c r="H73" s="110">
        <f t="shared" si="2"/>
        <v>44840</v>
      </c>
      <c r="I73" s="97">
        <f t="shared" si="3"/>
        <v>44840</v>
      </c>
    </row>
    <row r="74" spans="2:9" ht="15" thickBot="1" x14ac:dyDescent="0.25">
      <c r="B74" s="50" t="s">
        <v>940</v>
      </c>
      <c r="C74" s="15" t="s">
        <v>939</v>
      </c>
      <c r="D74" s="15" t="s">
        <v>930</v>
      </c>
      <c r="E74" s="15">
        <v>20</v>
      </c>
      <c r="F74" s="15">
        <v>5</v>
      </c>
      <c r="G74" s="15">
        <v>100</v>
      </c>
      <c r="H74" s="110" t="str">
        <f t="shared" si="2"/>
        <v>16/9/2022</v>
      </c>
      <c r="I74" s="97" t="str">
        <f t="shared" si="3"/>
        <v>16/9/2022</v>
      </c>
    </row>
    <row r="75" spans="2:9" ht="15" thickBot="1" x14ac:dyDescent="0.25">
      <c r="B75" s="50">
        <v>44573</v>
      </c>
      <c r="C75" s="15" t="s">
        <v>941</v>
      </c>
      <c r="D75" s="15" t="s">
        <v>930</v>
      </c>
      <c r="E75" s="15">
        <v>50</v>
      </c>
      <c r="F75" s="15">
        <v>8</v>
      </c>
      <c r="G75" s="15">
        <v>400</v>
      </c>
      <c r="H75" s="110">
        <f t="shared" si="2"/>
        <v>44573</v>
      </c>
      <c r="I75" s="97">
        <f t="shared" si="3"/>
        <v>44573</v>
      </c>
    </row>
    <row r="76" spans="2:9" ht="15" thickBot="1" x14ac:dyDescent="0.25">
      <c r="B76" s="50">
        <v>44902</v>
      </c>
      <c r="C76" s="15" t="s">
        <v>932</v>
      </c>
      <c r="D76" s="15" t="s">
        <v>930</v>
      </c>
      <c r="E76" s="15">
        <v>20</v>
      </c>
      <c r="F76" s="15">
        <v>8</v>
      </c>
      <c r="G76" s="15">
        <v>160</v>
      </c>
      <c r="H76" s="110">
        <f t="shared" si="2"/>
        <v>44902</v>
      </c>
      <c r="I76" s="97">
        <f t="shared" si="3"/>
        <v>44902</v>
      </c>
    </row>
    <row r="93" spans="2:8" ht="15" x14ac:dyDescent="0.25">
      <c r="B93" s="4" t="s">
        <v>1025</v>
      </c>
    </row>
    <row r="94" spans="2:8" x14ac:dyDescent="0.2">
      <c r="B94" s="2" t="s">
        <v>1026</v>
      </c>
    </row>
    <row r="96" spans="2:8" ht="15" x14ac:dyDescent="0.25">
      <c r="B96" s="21" t="s">
        <v>1027</v>
      </c>
      <c r="C96" s="21" t="s">
        <v>1028</v>
      </c>
      <c r="D96" s="21" t="s">
        <v>1029</v>
      </c>
      <c r="H96" s="2" t="s">
        <v>1220</v>
      </c>
    </row>
    <row r="97" spans="2:12" x14ac:dyDescent="0.2">
      <c r="B97" s="15" t="s">
        <v>1221</v>
      </c>
      <c r="C97" s="15" t="s">
        <v>1033</v>
      </c>
      <c r="D97" s="15" t="s">
        <v>1034</v>
      </c>
      <c r="H97" s="2" t="str" cm="1">
        <f t="array" ref="H97:I97">TRIM(_xlfn.TEXTSPLIT(B97,"-"))</f>
        <v>SO</v>
      </c>
      <c r="I97" s="2" t="str">
        <v>000101</v>
      </c>
    </row>
    <row r="98" spans="2:12" x14ac:dyDescent="0.2">
      <c r="B98" s="15" t="s">
        <v>1035</v>
      </c>
      <c r="C98" s="15" t="s">
        <v>936</v>
      </c>
      <c r="D98" s="15" t="s">
        <v>1036</v>
      </c>
      <c r="H98" s="115" t="s">
        <v>1222</v>
      </c>
      <c r="I98" s="115" t="s">
        <v>1070</v>
      </c>
      <c r="J98" s="115">
        <v>102</v>
      </c>
      <c r="K98" s="115"/>
      <c r="L98" s="115"/>
    </row>
    <row r="99" spans="2:12" x14ac:dyDescent="0.2">
      <c r="B99" s="15" t="s">
        <v>1037</v>
      </c>
      <c r="C99" s="15" t="s">
        <v>1038</v>
      </c>
      <c r="D99" s="15" t="s">
        <v>1034</v>
      </c>
      <c r="H99" s="115" t="s">
        <v>1222</v>
      </c>
      <c r="I99" s="115" t="s">
        <v>1070</v>
      </c>
      <c r="J99" s="115">
        <v>103</v>
      </c>
      <c r="K99" s="115"/>
      <c r="L99" s="115"/>
    </row>
    <row r="100" spans="2:12" x14ac:dyDescent="0.2">
      <c r="B100" s="15" t="s">
        <v>1039</v>
      </c>
      <c r="C100" s="15" t="s">
        <v>1040</v>
      </c>
      <c r="D100" s="15" t="s">
        <v>1036</v>
      </c>
      <c r="H100" s="115" t="s">
        <v>1222</v>
      </c>
      <c r="I100" s="115" t="s">
        <v>1070</v>
      </c>
      <c r="J100" s="115">
        <v>104</v>
      </c>
      <c r="K100" s="115"/>
      <c r="L100" s="115"/>
    </row>
    <row r="101" spans="2:12" x14ac:dyDescent="0.2">
      <c r="B101" s="15" t="s">
        <v>1041</v>
      </c>
      <c r="C101" s="15" t="s">
        <v>1038</v>
      </c>
      <c r="D101" s="15" t="s">
        <v>1036</v>
      </c>
      <c r="H101" s="115" t="s">
        <v>1222</v>
      </c>
      <c r="I101" s="115" t="s">
        <v>1070</v>
      </c>
      <c r="J101" s="115">
        <v>105</v>
      </c>
      <c r="K101" s="115"/>
      <c r="L101" s="115"/>
    </row>
    <row r="102" spans="2:12" x14ac:dyDescent="0.2">
      <c r="B102" s="15" t="s">
        <v>1042</v>
      </c>
      <c r="C102" s="15" t="s">
        <v>936</v>
      </c>
      <c r="D102" s="15" t="s">
        <v>1043</v>
      </c>
      <c r="H102" s="115" t="s">
        <v>1222</v>
      </c>
      <c r="I102" s="115" t="s">
        <v>1070</v>
      </c>
      <c r="J102" s="115">
        <v>106</v>
      </c>
      <c r="K102" s="115"/>
      <c r="L102" s="115"/>
    </row>
    <row r="103" spans="2:12" x14ac:dyDescent="0.2">
      <c r="B103" s="15" t="s">
        <v>1044</v>
      </c>
      <c r="C103" s="15" t="s">
        <v>1033</v>
      </c>
      <c r="D103" s="15" t="s">
        <v>1045</v>
      </c>
      <c r="H103" s="115" t="s">
        <v>1222</v>
      </c>
      <c r="I103" s="115" t="s">
        <v>1070</v>
      </c>
      <c r="J103" s="115">
        <v>107</v>
      </c>
      <c r="K103" s="115"/>
      <c r="L103" s="115"/>
    </row>
    <row r="104" spans="2:12" x14ac:dyDescent="0.2">
      <c r="B104" s="15" t="s">
        <v>1046</v>
      </c>
      <c r="C104" s="15" t="s">
        <v>1033</v>
      </c>
      <c r="D104" s="15" t="s">
        <v>1043</v>
      </c>
      <c r="H104" s="115" t="s">
        <v>1222</v>
      </c>
      <c r="I104" s="115" t="s">
        <v>1070</v>
      </c>
      <c r="J104" s="115">
        <v>108</v>
      </c>
      <c r="K104" s="115"/>
      <c r="L104" s="115"/>
    </row>
    <row r="105" spans="2:12" x14ac:dyDescent="0.2">
      <c r="B105" s="15" t="s">
        <v>1047</v>
      </c>
      <c r="C105" s="15" t="s">
        <v>1033</v>
      </c>
      <c r="D105" s="15" t="s">
        <v>1043</v>
      </c>
      <c r="H105" s="115" t="s">
        <v>1222</v>
      </c>
      <c r="I105" s="115" t="s">
        <v>1070</v>
      </c>
      <c r="J105" s="115">
        <v>109</v>
      </c>
      <c r="K105" s="115"/>
      <c r="L105" s="115"/>
    </row>
    <row r="106" spans="2:12" x14ac:dyDescent="0.2">
      <c r="B106" s="15" t="s">
        <v>1048</v>
      </c>
      <c r="C106" s="15" t="s">
        <v>1033</v>
      </c>
      <c r="D106" s="15" t="s">
        <v>1034</v>
      </c>
      <c r="H106" s="115" t="s">
        <v>1222</v>
      </c>
      <c r="I106" s="115" t="s">
        <v>1070</v>
      </c>
      <c r="J106" s="115">
        <v>110</v>
      </c>
      <c r="K106" s="115"/>
      <c r="L106" s="115"/>
    </row>
    <row r="107" spans="2:12" x14ac:dyDescent="0.2">
      <c r="B107" s="15" t="s">
        <v>1049</v>
      </c>
      <c r="C107" s="15" t="s">
        <v>1038</v>
      </c>
      <c r="D107" s="15" t="s">
        <v>1045</v>
      </c>
      <c r="H107" s="115" t="s">
        <v>1222</v>
      </c>
      <c r="I107" s="115" t="s">
        <v>1070</v>
      </c>
      <c r="J107" s="115">
        <v>111</v>
      </c>
      <c r="K107" s="115"/>
      <c r="L107" s="115"/>
    </row>
    <row r="108" spans="2:12" x14ac:dyDescent="0.2">
      <c r="B108" s="15" t="s">
        <v>1050</v>
      </c>
      <c r="C108" s="15" t="s">
        <v>1033</v>
      </c>
      <c r="D108" s="15" t="s">
        <v>1036</v>
      </c>
      <c r="H108" s="115" t="s">
        <v>1222</v>
      </c>
      <c r="I108" s="115" t="s">
        <v>1070</v>
      </c>
      <c r="J108" s="115">
        <v>112</v>
      </c>
      <c r="K108" s="115"/>
      <c r="L108" s="115"/>
    </row>
    <row r="109" spans="2:12" x14ac:dyDescent="0.2">
      <c r="B109" s="15" t="s">
        <v>1051</v>
      </c>
      <c r="C109" s="15" t="s">
        <v>1033</v>
      </c>
      <c r="D109" s="15" t="s">
        <v>1043</v>
      </c>
      <c r="H109" s="115" t="s">
        <v>1222</v>
      </c>
      <c r="I109" s="115" t="s">
        <v>1070</v>
      </c>
      <c r="J109" s="115">
        <v>113</v>
      </c>
      <c r="K109" s="115"/>
      <c r="L109" s="11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5952-495F-4F09-9AE3-24AAE65413FF}">
  <dimension ref="A1"/>
  <sheetViews>
    <sheetView showGridLines="0" tabSelected="1" zoomScale="70" zoomScaleNormal="70" workbookViewId="0">
      <selection activeCell="H21" sqref="H21"/>
    </sheetView>
  </sheetViews>
  <sheetFormatPr baseColWidth="10"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7</vt:i4>
      </vt:variant>
    </vt:vector>
  </HeadingPairs>
  <TitlesOfParts>
    <vt:vector size="36" baseType="lpstr">
      <vt:lpstr>Temario</vt:lpstr>
      <vt:lpstr>100 Tips Harvard</vt:lpstr>
      <vt:lpstr>M1_C1</vt:lpstr>
      <vt:lpstr>M1_C2</vt:lpstr>
      <vt:lpstr>M1_C3</vt:lpstr>
      <vt:lpstr>M1_C4</vt:lpstr>
      <vt:lpstr>M1_C5</vt:lpstr>
      <vt:lpstr>M1_C6</vt:lpstr>
      <vt:lpstr>M2_C1</vt:lpstr>
      <vt:lpstr>M2_C2</vt:lpstr>
      <vt:lpstr>M2_C3</vt:lpstr>
      <vt:lpstr>M2_C4</vt:lpstr>
      <vt:lpstr>M3_C1</vt:lpstr>
      <vt:lpstr>M3_C2</vt:lpstr>
      <vt:lpstr>M3_C3</vt:lpstr>
      <vt:lpstr>M4_C1</vt:lpstr>
      <vt:lpstr>M4_C2</vt:lpstr>
      <vt:lpstr>M4_C3</vt:lpstr>
      <vt:lpstr>M4_C4</vt:lpstr>
      <vt:lpstr>M5_C1</vt:lpstr>
      <vt:lpstr>M5_C2</vt:lpstr>
      <vt:lpstr>M5_C3</vt:lpstr>
      <vt:lpstr>M5_C4</vt:lpstr>
      <vt:lpstr>M6_C1</vt:lpstr>
      <vt:lpstr>M6_C2</vt:lpstr>
      <vt:lpstr>M7_C1</vt:lpstr>
      <vt:lpstr>M7_C2</vt:lpstr>
      <vt:lpstr>M8_C1</vt:lpstr>
      <vt:lpstr>Estructuras</vt:lpstr>
      <vt:lpstr>Company_Code</vt:lpstr>
      <vt:lpstr>Company_Names</vt:lpstr>
      <vt:lpstr>Country</vt:lpstr>
      <vt:lpstr>Marketcap</vt:lpstr>
      <vt:lpstr>PrimeraCelda</vt:lpstr>
      <vt:lpstr>Rank</vt:lpstr>
      <vt:lpstr>Stock_Price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Alberto Reyes</dc:creator>
  <cp:lastModifiedBy>Elias</cp:lastModifiedBy>
  <cp:lastPrinted>2024-02-06T00:18:55Z</cp:lastPrinted>
  <dcterms:created xsi:type="dcterms:W3CDTF">2024-01-25T18:22:49Z</dcterms:created>
  <dcterms:modified xsi:type="dcterms:W3CDTF">2026-09-16T11:32:42Z</dcterms:modified>
</cp:coreProperties>
</file>