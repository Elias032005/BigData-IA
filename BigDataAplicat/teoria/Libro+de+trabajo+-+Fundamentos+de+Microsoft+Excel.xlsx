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luisalberto.reyes\Documents\Databoosters\Curso completo Excel\Fundamentos de Excel\"/>
    </mc:Choice>
  </mc:AlternateContent>
  <xr:revisionPtr revIDLastSave="0" documentId="13_ncr:1_{0E076D7D-B72C-43F5-87A2-186AB90E241D}" xr6:coauthVersionLast="47" xr6:coauthVersionMax="47" xr10:uidLastSave="{00000000-0000-0000-0000-000000000000}"/>
  <bookViews>
    <workbookView xWindow="-120" yWindow="-120" windowWidth="20730" windowHeight="11160" xr2:uid="{61020C85-FE74-4F3F-A5BA-1C6DE3381BFB}"/>
  </bookViews>
  <sheets>
    <sheet name="M1_Introducción" sheetId="1" r:id="rId1"/>
    <sheet name="M2_Ingresar y Editar Datos" sheetId="2" r:id="rId2"/>
    <sheet name="M3_Operaciones Básicas de Hojas" sheetId="3" r:id="rId3"/>
    <sheet name="M4_Rangos y Tablas" sheetId="4" r:id="rId4"/>
    <sheet name="Totals" sheetId="11" r:id="rId5"/>
    <sheet name="Operations" sheetId="12" r:id="rId6"/>
    <sheet name="Marketing" sheetId="13" r:id="rId7"/>
    <sheet name="Manufacturing" sheetId="14" r:id="rId8"/>
    <sheet name="M5_Formateo de Hojas" sheetId="5" r:id="rId9"/>
    <sheet name="M6_Archivos y Plantillas" sheetId="6" r:id="rId10"/>
    <sheet name="M7_Impresiones" sheetId="7" r:id="rId11"/>
  </sheets>
  <definedNames>
    <definedName name="_xlnm._FilterDatabase" localSheetId="3" hidden="1">'M4_Rangos y Tablas'!$E$20:$U$120</definedName>
    <definedName name="_xlnm.Print_Area" localSheetId="10">M7_Impresiones!$E$6:$U$106</definedName>
    <definedName name="CustomerCity">'M4_Rangos y Tablas'!$N$20:$N$120</definedName>
    <definedName name="CustomerCountry">'M4_Rangos y Tablas'!$P$20:$P$120</definedName>
    <definedName name="CustomerName">'M4_Rangos y Tablas'!$M$20:$M$120</definedName>
    <definedName name="CustomerState">'M4_Rangos y Tablas'!$O$20:$O$120</definedName>
    <definedName name="DeliveryDueDate">'M4_Rangos y Tablas'!$K$20:$K$120</definedName>
    <definedName name="EmployeeID">Table1[EmployeeID]</definedName>
    <definedName name="ItemCost">'M4_Rangos y Tablas'!$H$20:$H$120</definedName>
    <definedName name="ItemPrice">'M4_Rangos y Tablas'!$I$20:$I$120</definedName>
    <definedName name="Model">'M4_Rangos y Tablas'!$U$20:$U$120</definedName>
    <definedName name="OrderDate">'M4_Rangos y Tablas'!$J$20:$J$120</definedName>
    <definedName name="OrderNo">'M4_Rangos y Tablas'!$E$20:$E$120</definedName>
    <definedName name="OrderQuantity">'M4_Rangos y Tablas'!$G$20:$G$120</definedName>
    <definedName name="OrderToDelivery">'M4_Rangos y Tablas'!$L$20:$L$120</definedName>
    <definedName name="Product">'M4_Rangos y Tablas'!$S$20:$S$120</definedName>
    <definedName name="ProductCategory">'M4_Rangos y Tablas'!$Q$20:$Q$120</definedName>
    <definedName name="ProductColor">'M4_Rangos y Tablas'!$T$20:$T$120</definedName>
    <definedName name="ProductSubcategory">'M4_Rangos y Tablas'!$R$20:$R$120</definedName>
    <definedName name="SalesOrderLineKey">'M4_Rangos y Tablas'!$F$20:$F$120</definedName>
    <definedName name="_xlnm.Print_Titles" localSheetId="10">M7_Impresiones!$6:$6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2" l="1"/>
  <c r="J16" i="4"/>
  <c r="I18" i="4"/>
  <c r="J17" i="4"/>
  <c r="B8" i="14"/>
  <c r="F7" i="14"/>
  <c r="C6" i="14"/>
  <c r="C5" i="14"/>
  <c r="C8" i="14" s="1"/>
  <c r="F4" i="14"/>
  <c r="B8" i="13"/>
  <c r="F7" i="13"/>
  <c r="C6" i="13"/>
  <c r="D6" i="13" s="1"/>
  <c r="E6" i="13" s="1"/>
  <c r="C5" i="13"/>
  <c r="F4" i="13"/>
  <c r="B8" i="12"/>
  <c r="C6" i="12"/>
  <c r="D6" i="12" s="1"/>
  <c r="C5" i="12"/>
  <c r="D5" i="12" s="1"/>
  <c r="F4" i="12"/>
  <c r="F18" i="11"/>
  <c r="F17" i="11"/>
  <c r="F16" i="11"/>
  <c r="F15" i="11"/>
  <c r="E7" i="11"/>
  <c r="D7" i="11"/>
  <c r="C7" i="11"/>
  <c r="B7" i="11"/>
  <c r="B6" i="11"/>
  <c r="C5" i="11"/>
  <c r="B5" i="11"/>
  <c r="E4" i="11"/>
  <c r="D4" i="11"/>
  <c r="C4" i="11"/>
  <c r="B4" i="11"/>
  <c r="B8" i="11" s="1"/>
  <c r="F4" i="11" l="1"/>
  <c r="F19" i="11"/>
  <c r="F7" i="11"/>
  <c r="D8" i="12"/>
  <c r="E5" i="12"/>
  <c r="F5" i="12"/>
  <c r="E6" i="12"/>
  <c r="E6" i="11" s="1"/>
  <c r="F6" i="14"/>
  <c r="D5" i="14"/>
  <c r="C6" i="11"/>
  <c r="C8" i="11" s="1"/>
  <c r="D5" i="13"/>
  <c r="D5" i="11" s="1"/>
  <c r="D6" i="14"/>
  <c r="E6" i="14" s="1"/>
  <c r="F6" i="13"/>
  <c r="C8" i="13"/>
  <c r="C8" i="12"/>
  <c r="D8" i="14" l="1"/>
  <c r="E5" i="14"/>
  <c r="E8" i="14" s="1"/>
  <c r="D6" i="11"/>
  <c r="F6" i="11" s="1"/>
  <c r="F6" i="12"/>
  <c r="F5" i="14"/>
  <c r="F8" i="14" s="1"/>
  <c r="F8" i="12"/>
  <c r="D8" i="13"/>
  <c r="E5" i="13"/>
  <c r="E8" i="12"/>
  <c r="E8" i="13" l="1"/>
  <c r="F5" i="13"/>
  <c r="F8" i="13" s="1"/>
  <c r="E5" i="11"/>
  <c r="D8" i="11"/>
  <c r="E8" i="11" l="1"/>
  <c r="F5" i="11"/>
  <c r="F8" i="11" s="1"/>
  <c r="F9" i="2" l="1"/>
  <c r="F10" i="2"/>
</calcChain>
</file>

<file path=xl/sharedStrings.xml><?xml version="1.0" encoding="utf-8"?>
<sst xmlns="http://schemas.openxmlformats.org/spreadsheetml/2006/main" count="3294" uniqueCount="505">
  <si>
    <t>Tema</t>
  </si>
  <si>
    <t>Check</t>
  </si>
  <si>
    <t>Introducción a Excel</t>
  </si>
  <si>
    <t>Este módulo es una visión introductoria a Excel, donde comprenderás para qué es utilizado Excel, elementos de un libro de trabajo, desplazamiento dentro de las hojas, introducción a</t>
  </si>
  <si>
    <t>la cinta de opciones, atajos del teclado, cuadros de diálogo, paneles de tareas y más.</t>
  </si>
  <si>
    <t>Libros y Hojas</t>
  </si>
  <si>
    <t>Nombre Inglés</t>
  </si>
  <si>
    <t>Nombre  Español</t>
  </si>
  <si>
    <t>Collapse Ribbon buttom</t>
  </si>
  <si>
    <t xml:space="preserve">Botón Colapsar la Cinta </t>
  </si>
  <si>
    <t>Column letters</t>
  </si>
  <si>
    <t xml:space="preserve">Letras de columna </t>
  </si>
  <si>
    <t>File button</t>
  </si>
  <si>
    <t xml:space="preserve">Botón de Archivo </t>
  </si>
  <si>
    <t>Formula bar</t>
  </si>
  <si>
    <t xml:space="preserve">Barra de fórmulas </t>
  </si>
  <si>
    <t>Horizontal scrollbar</t>
  </si>
  <si>
    <t xml:space="preserve">Barra de desplazamiento horizontal </t>
  </si>
  <si>
    <t>Macro recorder indicator</t>
  </si>
  <si>
    <t xml:space="preserve">Indicador de grabadora de macros </t>
  </si>
  <si>
    <t>Name box</t>
  </si>
  <si>
    <t xml:space="preserve">Cuadro de nombre </t>
  </si>
  <si>
    <t>New sheet button</t>
  </si>
  <si>
    <t xml:space="preserve">Botón de Nueva hoja </t>
  </si>
  <si>
    <t>Page view buttons</t>
  </si>
  <si>
    <t xml:space="preserve">Botones de vista de página </t>
  </si>
  <si>
    <t>Quick Access toolbar</t>
  </si>
  <si>
    <t xml:space="preserve">Barra de herramientas de acceso rápido </t>
  </si>
  <si>
    <t>Cinta de opciones</t>
  </si>
  <si>
    <t xml:space="preserve">Cinta </t>
  </si>
  <si>
    <t>Ribbon Display Options</t>
  </si>
  <si>
    <t xml:space="preserve">Opciones de visualización de la Cinta </t>
  </si>
  <si>
    <t>Row numbers</t>
  </si>
  <si>
    <t xml:space="preserve">Números de fila </t>
  </si>
  <si>
    <t>Search</t>
  </si>
  <si>
    <t xml:space="preserve">Control de búsqueda </t>
  </si>
  <si>
    <t>Selected cell indicator</t>
  </si>
  <si>
    <t xml:space="preserve">Indicador de celda seleccionada </t>
  </si>
  <si>
    <t>Sheet tabs</t>
  </si>
  <si>
    <t xml:space="preserve">Pestañas de hoja </t>
  </si>
  <si>
    <t>Sheet tab scroll butoms</t>
  </si>
  <si>
    <t xml:space="preserve">Botones de desplazamiento de pestañas de hoja </t>
  </si>
  <si>
    <t>Status bar</t>
  </si>
  <si>
    <t xml:space="preserve">Barra de estado </t>
  </si>
  <si>
    <t>Tab list</t>
  </si>
  <si>
    <t xml:space="preserve">Lista de pestañas </t>
  </si>
  <si>
    <t>Title bar</t>
  </si>
  <si>
    <t xml:space="preserve">Barra de título </t>
  </si>
  <si>
    <t>Vertical scrollbar</t>
  </si>
  <si>
    <t xml:space="preserve">Barra de desplazamiento vertical </t>
  </si>
  <si>
    <t>Window controls</t>
  </si>
  <si>
    <t xml:space="preserve">Controles de ventana </t>
  </si>
  <si>
    <t>Zoom control</t>
  </si>
  <si>
    <t xml:space="preserve">Control de zoom </t>
  </si>
  <si>
    <t>Desplazamiento en Hojas</t>
  </si>
  <si>
    <t>Cinta de Opciones</t>
  </si>
  <si>
    <t>Menús contextuales</t>
  </si>
  <si>
    <t>Barra de acceso rápido</t>
  </si>
  <si>
    <t>Cuadros de diálogo</t>
  </si>
  <si>
    <t>X</t>
  </si>
  <si>
    <t>x</t>
  </si>
  <si>
    <t xml:space="preserve">Por lo tanto, necesitas aprender sobre los diferentes tipos de datos que puedes usar en una hoja de cálculo de Excel. </t>
  </si>
  <si>
    <t>Explorar tipos de datos</t>
  </si>
  <si>
    <t>Ingresar texto y valores</t>
  </si>
  <si>
    <t>Ingresar fechas y horas</t>
  </si>
  <si>
    <t>Modificar contenido de celdas</t>
  </si>
  <si>
    <t>Aplicar formato numérico</t>
  </si>
  <si>
    <t>Ingresar y Editar Datos</t>
  </si>
  <si>
    <t>Sin Formato</t>
  </si>
  <si>
    <t>Con Formato</t>
  </si>
  <si>
    <t>Tipo</t>
  </si>
  <si>
    <t>Combinación de Teclas</t>
  </si>
  <si>
    <t>Formato Aplicado</t>
  </si>
  <si>
    <t>Currency</t>
  </si>
  <si>
    <t>Ctrl+Shift+1</t>
  </si>
  <si>
    <t>Formato de número general (valores sin formato)</t>
  </si>
  <si>
    <t>Percentage</t>
  </si>
  <si>
    <t>Ctrl+Shift+$</t>
  </si>
  <si>
    <t>Formato de moneda con dos decimales (números negativos en rojo y entre paréntesis)</t>
  </si>
  <si>
    <t>Short Date</t>
  </si>
  <si>
    <t>Ctrl+Shift+%</t>
  </si>
  <si>
    <t>Formato de porcentaje sin decimales</t>
  </si>
  <si>
    <t>Long Date</t>
  </si>
  <si>
    <t>Ctrl+Shift+#</t>
  </si>
  <si>
    <t>Formato de fecha con día, mes y año* (sólo funciona en algunos teclados)</t>
  </si>
  <si>
    <t>Accounting</t>
  </si>
  <si>
    <t>Phone Number</t>
  </si>
  <si>
    <t>Social Security Number</t>
  </si>
  <si>
    <t>Time</t>
  </si>
  <si>
    <t>Fraction</t>
  </si>
  <si>
    <t>Scientific</t>
  </si>
  <si>
    <t>Operaciones Básicas de Hojas</t>
  </si>
  <si>
    <t>Descubrirás consejos y técnicas para ayudarte a tomar el control de tus hojas de cálculo y trabajar de manera más eficiente.</t>
  </si>
  <si>
    <t>Este módulo cubre información básica sobre libros de trabajo, hojas de cálculo y ventanas.</t>
  </si>
  <si>
    <t xml:space="preserve">Este módulo describe lo que necesitas saber sobre cómo ingresar y modificar datos en tus hojas de cálculo. Como verás, Excel no trata todos los datos de la misma manera. </t>
  </si>
  <si>
    <t>Fundamentos de Hojas</t>
  </si>
  <si>
    <t>Controlar Vista de Hoja</t>
  </si>
  <si>
    <t>Trabajar con Filas y Columnas</t>
  </si>
  <si>
    <t>OrderNo</t>
  </si>
  <si>
    <t>SalesOrderLineKey</t>
  </si>
  <si>
    <t>OrderQuantity</t>
  </si>
  <si>
    <t>ItemCost</t>
  </si>
  <si>
    <t>ItemPrice</t>
  </si>
  <si>
    <t>OrderDate</t>
  </si>
  <si>
    <t>DeliveryDueDate</t>
  </si>
  <si>
    <t>OrderToDelivery</t>
  </si>
  <si>
    <t>CustomerName</t>
  </si>
  <si>
    <t>CustomerCity</t>
  </si>
  <si>
    <t>CustomerState</t>
  </si>
  <si>
    <t>CustomerCountry</t>
  </si>
  <si>
    <t>ProductCategory</t>
  </si>
  <si>
    <t>ProductSubcategory</t>
  </si>
  <si>
    <t>Product</t>
  </si>
  <si>
    <t>ProductColor</t>
  </si>
  <si>
    <t>Model</t>
  </si>
  <si>
    <t>SO43697</t>
  </si>
  <si>
    <t>Cole Watson</t>
  </si>
  <si>
    <t>Metchosin</t>
  </si>
  <si>
    <t>British Columbia</t>
  </si>
  <si>
    <t>Canada</t>
  </si>
  <si>
    <t>Bikes</t>
  </si>
  <si>
    <t>Road Bikes</t>
  </si>
  <si>
    <t>Road-150 Red, 62</t>
  </si>
  <si>
    <t>Red</t>
  </si>
  <si>
    <t>Road-150</t>
  </si>
  <si>
    <t>SO43698</t>
  </si>
  <si>
    <t>Rachael Martinez</t>
  </si>
  <si>
    <t>Pantin</t>
  </si>
  <si>
    <t>Seine Saint Denis</t>
  </si>
  <si>
    <t>France</t>
  </si>
  <si>
    <t>Mountain Bikes</t>
  </si>
  <si>
    <t>Mountain-100 Silver, 44</t>
  </si>
  <si>
    <t>Silver</t>
  </si>
  <si>
    <t>Mountain-100</t>
  </si>
  <si>
    <t>SO43699</t>
  </si>
  <si>
    <t>Sydney Wright</t>
  </si>
  <si>
    <t>Lebanon</t>
  </si>
  <si>
    <t>Oregon</t>
  </si>
  <si>
    <t>United States</t>
  </si>
  <si>
    <t>SO43700</t>
  </si>
  <si>
    <t>Ruben Prasad</t>
  </si>
  <si>
    <t>Beverly Hills</t>
  </si>
  <si>
    <t>California</t>
  </si>
  <si>
    <t>Road-650 Black, 62</t>
  </si>
  <si>
    <t>Black</t>
  </si>
  <si>
    <t>Road-650</t>
  </si>
  <si>
    <t>SO43701</t>
  </si>
  <si>
    <t>Christy Zhu</t>
  </si>
  <si>
    <t>North Ryde</t>
  </si>
  <si>
    <t>New South Wales</t>
  </si>
  <si>
    <t>Australia</t>
  </si>
  <si>
    <t>SO43702</t>
  </si>
  <si>
    <t>Colin Anand</t>
  </si>
  <si>
    <t>Road-150 Red, 44</t>
  </si>
  <si>
    <t>SO43703</t>
  </si>
  <si>
    <t>Albert Alvarez</t>
  </si>
  <si>
    <t>Perth</t>
  </si>
  <si>
    <t>South Australia</t>
  </si>
  <si>
    <t>SO43704</t>
  </si>
  <si>
    <t>Julio Ruiz</t>
  </si>
  <si>
    <t>East Brisbane</t>
  </si>
  <si>
    <t>Queensland</t>
  </si>
  <si>
    <t>Mountain-100 Black, 48</t>
  </si>
  <si>
    <t>SO43705</t>
  </si>
  <si>
    <t>Curtis Lu</t>
  </si>
  <si>
    <t>Mountain-100 Silver, 38</t>
  </si>
  <si>
    <t>SO43706</t>
  </si>
  <si>
    <t>Edward Brown</t>
  </si>
  <si>
    <t>Santa Monica</t>
  </si>
  <si>
    <t>Road-150 Red, 48</t>
  </si>
  <si>
    <t>SO43707</t>
  </si>
  <si>
    <t>Emma Brown</t>
  </si>
  <si>
    <t>Lemon Grove</t>
  </si>
  <si>
    <t>SO43708</t>
  </si>
  <si>
    <t>Brad Deng</t>
  </si>
  <si>
    <t>Liverpool</t>
  </si>
  <si>
    <t>England</t>
  </si>
  <si>
    <t>United Kingdom</t>
  </si>
  <si>
    <t>Road-650 Red, 52</t>
  </si>
  <si>
    <t>SO43709</t>
  </si>
  <si>
    <t>Martha Xu</t>
  </si>
  <si>
    <t>Rockhampton</t>
  </si>
  <si>
    <t>Road-150 Red, 52</t>
  </si>
  <si>
    <t>SO43710</t>
  </si>
  <si>
    <t>Katrina Raji</t>
  </si>
  <si>
    <t>Wollongong</t>
  </si>
  <si>
    <t>Road-150 Red, 56</t>
  </si>
  <si>
    <t>SO43711</t>
  </si>
  <si>
    <t>Courtney Edwards</t>
  </si>
  <si>
    <t>Milwaukie</t>
  </si>
  <si>
    <t>SO43712</t>
  </si>
  <si>
    <t>Abigail Henderson</t>
  </si>
  <si>
    <t>Werne</t>
  </si>
  <si>
    <t>Nordrhein-Westfalen</t>
  </si>
  <si>
    <t>Germany</t>
  </si>
  <si>
    <t>SO43713</t>
  </si>
  <si>
    <t>Sydney Rogers</t>
  </si>
  <si>
    <t>Burbank</t>
  </si>
  <si>
    <t>SO43714</t>
  </si>
  <si>
    <t>Latasha Alonso</t>
  </si>
  <si>
    <t>York</t>
  </si>
  <si>
    <t>SO43715</t>
  </si>
  <si>
    <t>Warren Jai</t>
  </si>
  <si>
    <t>Melbourne</t>
  </si>
  <si>
    <t>Victoria</t>
  </si>
  <si>
    <t>SO43716</t>
  </si>
  <si>
    <t>Jonathon Gutierrez</t>
  </si>
  <si>
    <t>Goulburn</t>
  </si>
  <si>
    <t>SO43717</t>
  </si>
  <si>
    <t>Alexandra Watson</t>
  </si>
  <si>
    <t>SO43718</t>
  </si>
  <si>
    <t>Kevin Gonzalez</t>
  </si>
  <si>
    <t>Kirkland</t>
  </si>
  <si>
    <t>Washington</t>
  </si>
  <si>
    <t>SO43719</t>
  </si>
  <si>
    <t>Lucas Hill</t>
  </si>
  <si>
    <t>Berkeley</t>
  </si>
  <si>
    <t>SO43720</t>
  </si>
  <si>
    <t>Melanie Sanchez</t>
  </si>
  <si>
    <t>Ingolstadt</t>
  </si>
  <si>
    <t>Bayern</t>
  </si>
  <si>
    <t>SO43721</t>
  </si>
  <si>
    <t>Louis Xie</t>
  </si>
  <si>
    <t>SO43722</t>
  </si>
  <si>
    <t>Albert Blanco</t>
  </si>
  <si>
    <t>Esher-Molesey</t>
  </si>
  <si>
    <t>SO43723</t>
  </si>
  <si>
    <t>Bonnie Xu</t>
  </si>
  <si>
    <t>Bremerton</t>
  </si>
  <si>
    <t>Road-650 Black, 58</t>
  </si>
  <si>
    <t>SO43724</t>
  </si>
  <si>
    <t>Misty Raji</t>
  </si>
  <si>
    <t>Bendigo</t>
  </si>
  <si>
    <t>SO43725</t>
  </si>
  <si>
    <t>Anne Dominguez</t>
  </si>
  <si>
    <t>Kassel</t>
  </si>
  <si>
    <t>Hessen</t>
  </si>
  <si>
    <t>SO43726</t>
  </si>
  <si>
    <t>Kelvin Huang</t>
  </si>
  <si>
    <t>Bellflower</t>
  </si>
  <si>
    <t>SO43727</t>
  </si>
  <si>
    <t>Logan Gonzales</t>
  </si>
  <si>
    <t>Brisbane</t>
  </si>
  <si>
    <t>SO43728</t>
  </si>
  <si>
    <t>Alyssa Garcia</t>
  </si>
  <si>
    <t>Fremont</t>
  </si>
  <si>
    <t>SO43729</t>
  </si>
  <si>
    <t>Mayra Prasad</t>
  </si>
  <si>
    <t>Birmingham</t>
  </si>
  <si>
    <t>SO43730</t>
  </si>
  <si>
    <t>Garrett Cooper</t>
  </si>
  <si>
    <t>Woodland Hills</t>
  </si>
  <si>
    <t>SO43731</t>
  </si>
  <si>
    <t>Rosa Zheng</t>
  </si>
  <si>
    <t>Matraville</t>
  </si>
  <si>
    <t>SO43732</t>
  </si>
  <si>
    <t>Alejandro Beck</t>
  </si>
  <si>
    <t>Hawthorne</t>
  </si>
  <si>
    <t>Mountain-100 Black, 44</t>
  </si>
  <si>
    <t>SO43733</t>
  </si>
  <si>
    <t>Patrick Cook</t>
  </si>
  <si>
    <t>Port Orchard</t>
  </si>
  <si>
    <t>SO43734</t>
  </si>
  <si>
    <t>Richard Brooks</t>
  </si>
  <si>
    <t>SO43735</t>
  </si>
  <si>
    <t>Casey Pal</t>
  </si>
  <si>
    <t>Caloundra</t>
  </si>
  <si>
    <t>SO43736</t>
  </si>
  <si>
    <t>Ruben Torres</t>
  </si>
  <si>
    <t>Hobart</t>
  </si>
  <si>
    <t>Tasmania</t>
  </si>
  <si>
    <t>SO43737</t>
  </si>
  <si>
    <t>Lindsey Andersen</t>
  </si>
  <si>
    <t>Paderborn</t>
  </si>
  <si>
    <t>SO43738</t>
  </si>
  <si>
    <t>Melody Ramos</t>
  </si>
  <si>
    <t>Morangis</t>
  </si>
  <si>
    <t>Essonne</t>
  </si>
  <si>
    <t>SO43739</t>
  </si>
  <si>
    <t>Phillip Sai</t>
  </si>
  <si>
    <t>Stoke-on-Trent</t>
  </si>
  <si>
    <t>SO43740</t>
  </si>
  <si>
    <t>Cory Arun</t>
  </si>
  <si>
    <t>Milsons Point</t>
  </si>
  <si>
    <t>SO43741</t>
  </si>
  <si>
    <t>Jeremiah Martinez</t>
  </si>
  <si>
    <t>Ballard</t>
  </si>
  <si>
    <t>SO43742</t>
  </si>
  <si>
    <t>Tamara Lal</t>
  </si>
  <si>
    <t>London</t>
  </si>
  <si>
    <t>SO43743</t>
  </si>
  <si>
    <t>Marco Mehta</t>
  </si>
  <si>
    <t>Warrnambool</t>
  </si>
  <si>
    <t>Mountain-100 Silver, 48</t>
  </si>
  <si>
    <t>SO43744</t>
  </si>
  <si>
    <t>Haley Ward</t>
  </si>
  <si>
    <t>SO43745</t>
  </si>
  <si>
    <t>Manuel Fernandez</t>
  </si>
  <si>
    <t>Malabar</t>
  </si>
  <si>
    <t>SO43746</t>
  </si>
  <si>
    <t>Kelvin Liang</t>
  </si>
  <si>
    <t>SO43747</t>
  </si>
  <si>
    <t>Christian Jackson</t>
  </si>
  <si>
    <t>Lincoln Acres</t>
  </si>
  <si>
    <t>SO43748</t>
  </si>
  <si>
    <t>Alexandria Hughes</t>
  </si>
  <si>
    <t>Lake Oswego</t>
  </si>
  <si>
    <t>SO43749</t>
  </si>
  <si>
    <t>Paige Murphy</t>
  </si>
  <si>
    <t>Issaquah</t>
  </si>
  <si>
    <t>SO43750</t>
  </si>
  <si>
    <t>Stacey Lu</t>
  </si>
  <si>
    <t>Versailles</t>
  </si>
  <si>
    <t>Yveline</t>
  </si>
  <si>
    <t>SO43751</t>
  </si>
  <si>
    <t>Darrell Raji</t>
  </si>
  <si>
    <t>Paris</t>
  </si>
  <si>
    <t>Seine (Paris)</t>
  </si>
  <si>
    <t>SO43752</t>
  </si>
  <si>
    <t>Luke Adams</t>
  </si>
  <si>
    <t>SO43753</t>
  </si>
  <si>
    <t>Tabitha Arthur</t>
  </si>
  <si>
    <t>SO43754</t>
  </si>
  <si>
    <t>Morgan Phillips</t>
  </si>
  <si>
    <t>Olympia</t>
  </si>
  <si>
    <t>SO43755</t>
  </si>
  <si>
    <t>Kayla Long</t>
  </si>
  <si>
    <t>Novato</t>
  </si>
  <si>
    <t>SO43756</t>
  </si>
  <si>
    <t>Cedric Liang</t>
  </si>
  <si>
    <t>SO43757</t>
  </si>
  <si>
    <t>Shannon Wang</t>
  </si>
  <si>
    <t>Sunbury</t>
  </si>
  <si>
    <t>SO43758</t>
  </si>
  <si>
    <t>Jackson Li</t>
  </si>
  <si>
    <t>Imperial Beach</t>
  </si>
  <si>
    <t>SO43759</t>
  </si>
  <si>
    <t>Jon Chander</t>
  </si>
  <si>
    <t>Hof</t>
  </si>
  <si>
    <t>SO43760</t>
  </si>
  <si>
    <t>Tiffany Gao</t>
  </si>
  <si>
    <t>SO43761</t>
  </si>
  <si>
    <t>Brenda Fernandez</t>
  </si>
  <si>
    <t>Seaford</t>
  </si>
  <si>
    <t>SO43762</t>
  </si>
  <si>
    <t>Courtney Carter</t>
  </si>
  <si>
    <t>Lakewood</t>
  </si>
  <si>
    <t>SO43763</t>
  </si>
  <si>
    <t>Martha Liang</t>
  </si>
  <si>
    <t>SO43764</t>
  </si>
  <si>
    <t>Ebony Ashe</t>
  </si>
  <si>
    <t>SO43765</t>
  </si>
  <si>
    <t>Jacquelyn Suarez</t>
  </si>
  <si>
    <t>SO43766</t>
  </si>
  <si>
    <t>Krystal Holt</t>
  </si>
  <si>
    <t>Cranbourne</t>
  </si>
  <si>
    <t>SO43767</t>
  </si>
  <si>
    <t>Eugene Huang</t>
  </si>
  <si>
    <t>SO43768</t>
  </si>
  <si>
    <t>Evan Bailey</t>
  </si>
  <si>
    <t>Seattle</t>
  </si>
  <si>
    <t>SO43769</t>
  </si>
  <si>
    <t>Gabrielle Jenkins</t>
  </si>
  <si>
    <t>Haney</t>
  </si>
  <si>
    <t>SO43770</t>
  </si>
  <si>
    <t>Warren Ye</t>
  </si>
  <si>
    <t>Bellingham</t>
  </si>
  <si>
    <t>SO43771</t>
  </si>
  <si>
    <t>Ashley Washington</t>
  </si>
  <si>
    <t>Long Beach</t>
  </si>
  <si>
    <t>SO43772</t>
  </si>
  <si>
    <t>Damien Huang</t>
  </si>
  <si>
    <t>SO43773</t>
  </si>
  <si>
    <t>Arthur Perez</t>
  </si>
  <si>
    <t>SO43774</t>
  </si>
  <si>
    <t>Roy Raman</t>
  </si>
  <si>
    <t>SO43775</t>
  </si>
  <si>
    <t>Jessie Zhao</t>
  </si>
  <si>
    <t>SO43776</t>
  </si>
  <si>
    <t>James Flores</t>
  </si>
  <si>
    <t>Neunkirchen</t>
  </si>
  <si>
    <t>Saarland</t>
  </si>
  <si>
    <t>SO43777</t>
  </si>
  <si>
    <t>Troy Sai</t>
  </si>
  <si>
    <t>SO43778</t>
  </si>
  <si>
    <t>Clarence Rai</t>
  </si>
  <si>
    <t>Mountain-100 Silver, 42</t>
  </si>
  <si>
    <t>SO43779</t>
  </si>
  <si>
    <t>Warren Zhang</t>
  </si>
  <si>
    <t>Coffs Harbour</t>
  </si>
  <si>
    <t>Road-650 Red, 44</t>
  </si>
  <si>
    <t>SO43780</t>
  </si>
  <si>
    <t>Melody Diaz</t>
  </si>
  <si>
    <t>Les Ulis</t>
  </si>
  <si>
    <t>SO43781</t>
  </si>
  <si>
    <t>Monique Ramos</t>
  </si>
  <si>
    <t>SO43782</t>
  </si>
  <si>
    <t>Melvin She</t>
  </si>
  <si>
    <t>Townsville</t>
  </si>
  <si>
    <t>SO43783</t>
  </si>
  <si>
    <t>Cameron Thompson</t>
  </si>
  <si>
    <t>Sydney</t>
  </si>
  <si>
    <t>SO43784</t>
  </si>
  <si>
    <t>Jessica Sanchez</t>
  </si>
  <si>
    <t>Daly City</t>
  </si>
  <si>
    <t>SO43785</t>
  </si>
  <si>
    <t>Ivan Raman</t>
  </si>
  <si>
    <t>SO43786</t>
  </si>
  <si>
    <t>Clinton Moreno</t>
  </si>
  <si>
    <t>SO43787</t>
  </si>
  <si>
    <t>Don Lal</t>
  </si>
  <si>
    <t>Berlin</t>
  </si>
  <si>
    <t>SO43788</t>
  </si>
  <si>
    <t>Latoya Goel</t>
  </si>
  <si>
    <t>SO43789</t>
  </si>
  <si>
    <t>Tristan Butler</t>
  </si>
  <si>
    <t>SO43790</t>
  </si>
  <si>
    <t>Abigail Perry</t>
  </si>
  <si>
    <t>W. Linn</t>
  </si>
  <si>
    <t>SO43791</t>
  </si>
  <si>
    <t>Dustin Lal</t>
  </si>
  <si>
    <t>Springwood</t>
  </si>
  <si>
    <t>SO43792</t>
  </si>
  <si>
    <t>Andres Lal</t>
  </si>
  <si>
    <t>Port Macquarie</t>
  </si>
  <si>
    <t>SO43793</t>
  </si>
  <si>
    <t>Jon Yang</t>
  </si>
  <si>
    <t>SO43794</t>
  </si>
  <si>
    <t>Jimmy Moreno</t>
  </si>
  <si>
    <t>SO43795</t>
  </si>
  <si>
    <t>Maria Henderson</t>
  </si>
  <si>
    <t>La Jolla</t>
  </si>
  <si>
    <t>SO43796</t>
  </si>
  <si>
    <t>Jaime Gomez</t>
  </si>
  <si>
    <t>Metz</t>
  </si>
  <si>
    <t>Moselle</t>
  </si>
  <si>
    <t>Road-650 Black, 52</t>
  </si>
  <si>
    <t>Trabajando con Rangos y Tablas</t>
  </si>
  <si>
    <t>Entender Celdas y Rangos</t>
  </si>
  <si>
    <t>Copiar y Mover Rangos</t>
  </si>
  <si>
    <t>Usar Nombres de Rangos</t>
  </si>
  <si>
    <t>Añadir Comentarios a Celdas</t>
  </si>
  <si>
    <t>Trabajar con Tablas</t>
  </si>
  <si>
    <t>Este módulo te permitirá comprender la mejor manera de manipular celdas y rangos para ahorrar tiempo y esfuerzo, discutiendo una variedad de técnicas que son esenciales para los usuarios de Excel.</t>
  </si>
  <si>
    <r>
      <t>C24</t>
    </r>
    <r>
      <rPr>
        <sz val="11"/>
        <color theme="1"/>
        <rFont val="Lato"/>
        <family val="2"/>
      </rPr>
      <t xml:space="preserve"> Un rango que consiste en una sola celda.</t>
    </r>
  </si>
  <si>
    <r>
      <t>A1:B1</t>
    </r>
    <r>
      <rPr>
        <sz val="11"/>
        <color theme="1"/>
        <rFont val="Lato"/>
        <family val="2"/>
      </rPr>
      <t xml:space="preserve"> Dos celdas que ocupan una fila y dos columnas.</t>
    </r>
  </si>
  <si>
    <r>
      <t>A1:A100</t>
    </r>
    <r>
      <rPr>
        <sz val="11"/>
        <color theme="1"/>
        <rFont val="Lato"/>
        <family val="2"/>
      </rPr>
      <t xml:space="preserve"> 100 celdas en la columna A.</t>
    </r>
  </si>
  <si>
    <r>
      <t>A1:D4 16</t>
    </r>
    <r>
      <rPr>
        <sz val="11"/>
        <color theme="1"/>
        <rFont val="Lato"/>
        <family val="2"/>
      </rPr>
      <t xml:space="preserve"> celdas (cuatro filas por cuatro columnas).</t>
    </r>
  </si>
  <si>
    <r>
      <t>C1:C1048576</t>
    </r>
    <r>
      <rPr>
        <sz val="11"/>
        <color theme="1"/>
        <rFont val="Lato"/>
        <family val="2"/>
      </rPr>
      <t xml:space="preserve"> Una columna entera de celdas; este rango también se puede expresar como C:C.</t>
    </r>
  </si>
  <si>
    <r>
      <t>A6:XFD6</t>
    </r>
    <r>
      <rPr>
        <sz val="11"/>
        <color theme="1"/>
        <rFont val="Lato"/>
        <family val="2"/>
      </rPr>
      <t xml:space="preserve"> Una fila entera de celdas; este rango también se puede expresar como 6:6.</t>
    </r>
  </si>
  <si>
    <r>
      <t>A1:XFD1048576</t>
    </r>
    <r>
      <rPr>
        <sz val="11"/>
        <color theme="1"/>
        <rFont val="Lato"/>
        <family val="2"/>
      </rPr>
      <t xml:space="preserve"> Todas las celdas en una hoja de cálculo. Este rango también se puede expresar como A:XFD o 1:1048576.</t>
    </r>
  </si>
  <si>
    <t>Tipos de rangos</t>
  </si>
  <si>
    <t>Budget Summary</t>
  </si>
  <si>
    <t>Q1</t>
  </si>
  <si>
    <t>Q2</t>
  </si>
  <si>
    <t>Q3</t>
  </si>
  <si>
    <t>Q4</t>
  </si>
  <si>
    <t>Year Total</t>
  </si>
  <si>
    <t>Salaries</t>
  </si>
  <si>
    <t>Travel</t>
  </si>
  <si>
    <t>Supplies</t>
  </si>
  <si>
    <t>Facility</t>
  </si>
  <si>
    <t>Total</t>
  </si>
  <si>
    <t>Operations</t>
  </si>
  <si>
    <t>Marketing</t>
  </si>
  <si>
    <t>Manufacturing</t>
  </si>
  <si>
    <t>EmployeeID</t>
  </si>
  <si>
    <t>Name</t>
  </si>
  <si>
    <t>Department</t>
  </si>
  <si>
    <t>Hire Date</t>
  </si>
  <si>
    <t>Salary</t>
  </si>
  <si>
    <t>Days Employeed</t>
  </si>
  <si>
    <t>00001</t>
  </si>
  <si>
    <t>John Smith</t>
  </si>
  <si>
    <t>00002</t>
  </si>
  <si>
    <t>Jane Burns</t>
  </si>
  <si>
    <t>Selección</t>
  </si>
  <si>
    <t>Continua (shift)</t>
  </si>
  <si>
    <t>Discontinua (ctrl)</t>
  </si>
  <si>
    <t>Dar Formato a Hojas</t>
  </si>
  <si>
    <t>En este módulo aprenderás que el formato adecuado puede ayudar a los usuarios a comprender el propósito de la hoja de cálculo y prevenir errores en la entrada de datos. El formato estilístico no es esencial para cada libro de trabajo</t>
  </si>
  <si>
    <t>que desarrolles, especialmente si es solo para tu propio uso. Por otro lado, solo toma unos momentos aplicar un formato sencillo y, una vez aplicado, el formato permanecerá en su lugar sin necesidad de más esfuerzo de tu parte.</t>
  </si>
  <si>
    <t>Conocer Herramientas de Formato</t>
  </si>
  <si>
    <t>Darle Formato a Hoja</t>
  </si>
  <si>
    <t>Usar Formatos Condicionales</t>
  </si>
  <si>
    <t>Usar Estilos de Celda</t>
  </si>
  <si>
    <t>Costos</t>
  </si>
  <si>
    <t>Archivos y Plantillas</t>
  </si>
  <si>
    <t>Abrir y Guardar Libros de Trabajo</t>
  </si>
  <si>
    <t>Usar AutoRecuperación</t>
  </si>
  <si>
    <t>Trabajar con Plantillas</t>
  </si>
  <si>
    <t xml:space="preserve">Se discute cómo Excel utiliza los archivos y se proporciona una visión general de los diversos tipos de archivos. </t>
  </si>
  <si>
    <t>Este módulo describe las operaciones que realizas con archivos de libros de trabajo: abrir, guardar, cerrar, y demás.</t>
  </si>
  <si>
    <t>Impresiones</t>
  </si>
  <si>
    <t>Impresión Básica</t>
  </si>
  <si>
    <t>Cambiar Vista de Página</t>
  </si>
  <si>
    <t>Configuraciones comunes de Hojas</t>
  </si>
  <si>
    <t>Encabezados y Pies de Página</t>
  </si>
  <si>
    <t>A pesar de las predicciones de la "oficina sin papel", el papel sigue siendo una excelente manera de llevar información y compartirla con otros, especialmente si no hay electricidad o Wi-Fi donde vas.</t>
  </si>
  <si>
    <t>Algunas de las hojas de cálculo que desarrollas con Excel terminarán siendo informes en papel, y querrás que se vean lo mejor posible. Descubrirás que imprimir desde Excel es bastante fácil y que puedes generar informes atractivos y bien formateados con un esfuerzo mínimo.</t>
  </si>
  <si>
    <t>Autoguardado</t>
  </si>
  <si>
    <t>Autorecuperación</t>
  </si>
  <si>
    <t>Funciona con la Nube</t>
  </si>
  <si>
    <t>Funciona localmente</t>
  </si>
  <si>
    <t>Proteger Hoja y Libro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</si>
</sst>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Red]\-&quot;$&quot;#,##0"/>
    <numFmt numFmtId="44" formatCode="_-&quot;$&quot;* #,##0.00_-;\-&quot;$&quot;* #,##0.00_-;_-&quot;$&quot;* &quot;-&quot;??_-;_-@_-"/>
    <numFmt numFmtId="43" formatCode="_-* #,##0.00_-;\-* #,##0.00_-;_-* &quot;-&quot;??_-;_-@_-"/>
    <numFmt numFmtId="164" formatCode="&quot;$&quot;#,##0.00"/>
    <numFmt numFmtId="165" formatCode="0.0%"/>
    <numFmt numFmtId="166" formatCode="[$-F800]dddd\,\ mmmm\ dd\,\ yyyy"/>
    <numFmt numFmtId="167" formatCode="_(* #,##0.00_);_(* \(#,##0.00\);_(* &quot;-&quot;??_);_(@_)"/>
    <numFmt numFmtId="169" formatCode="[&lt;=9999999]###\-####;\(###\)\ ###\-####"/>
    <numFmt numFmtId="170" formatCode="000\-00\-0000"/>
    <numFmt numFmtId="171" formatCode="[$-409]h:mm:ss\ AM/PM;@"/>
    <numFmt numFmtId="175" formatCode="yyyy\-mm\-dd;@"/>
    <numFmt numFmtId="180" formatCode="_(* #,##0_);_(* \(#,##0\);_(* &quot;-&quot;??_);_(@_)"/>
    <numFmt numFmtId="181" formatCode="_([$$-409]* #,##0.00_);_([$$-409]* \(#,##0.00\);_([$$-409]* &quot;-&quot;??_);_(@_)"/>
    <numFmt numFmtId="185" formatCode="_(* #,##0.00000_);_(* \(#,##0.00000\);_(* &quot;-&quot;??_);_(@_)"/>
  </numFmts>
  <fonts count="11" x14ac:knownFonts="1">
    <font>
      <sz val="11"/>
      <color theme="1"/>
      <name val="Lato"/>
      <family val="2"/>
    </font>
    <font>
      <b/>
      <sz val="11"/>
      <color theme="0"/>
      <name val="Lato"/>
      <family val="2"/>
    </font>
    <font>
      <b/>
      <sz val="14"/>
      <color theme="0"/>
      <name val="Lato"/>
      <family val="2"/>
    </font>
    <font>
      <b/>
      <sz val="12"/>
      <color theme="0"/>
      <name val="Lato"/>
      <family val="2"/>
    </font>
    <font>
      <sz val="11"/>
      <color theme="1"/>
      <name val="Lato"/>
      <family val="2"/>
    </font>
    <font>
      <b/>
      <sz val="11"/>
      <color theme="1"/>
      <name val="Lato"/>
      <family val="2"/>
    </font>
    <font>
      <sz val="11"/>
      <color theme="0"/>
      <name val="Lato"/>
      <family val="2"/>
    </font>
    <font>
      <sz val="11"/>
      <color theme="9" tint="0.59999389629810485"/>
      <name val="Lato"/>
      <family val="2"/>
    </font>
    <font>
      <sz val="11"/>
      <color theme="1"/>
      <name val="Century Gothic"/>
      <family val="2"/>
      <scheme val="minor"/>
    </font>
    <font>
      <b/>
      <sz val="10"/>
      <color theme="0"/>
      <name val="Arial"/>
      <family val="2"/>
    </font>
    <font>
      <sz val="10"/>
      <name val="Arial"/>
      <family val="2"/>
    </font>
  </fonts>
  <fills count="6">
    <fill>
      <patternFill patternType="none"/>
    </fill>
    <fill>
      <patternFill patternType="gray125"/>
    </fill>
    <fill>
      <patternFill patternType="solid">
        <fgColor theme="4" tint="-0.499984740745262"/>
        <bgColor indexed="64"/>
      </patternFill>
    </fill>
    <fill>
      <patternFill patternType="solid">
        <fgColor theme="4"/>
        <bgColor indexed="64"/>
      </patternFill>
    </fill>
    <fill>
      <patternFill patternType="solid">
        <fgColor rgb="FF00B0F0"/>
        <bgColor indexed="64"/>
      </patternFill>
    </fill>
    <fill>
      <gradientFill degree="90">
        <stop position="0">
          <color theme="6" tint="0.59999389629810485"/>
        </stop>
        <stop position="1">
          <color theme="6"/>
        </stop>
      </gradient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43" fontId="4" fillId="0" borderId="0" applyFont="0" applyFill="0" applyBorder="0" applyAlignment="0" applyProtection="0"/>
    <xf numFmtId="44" fontId="4" fillId="0" borderId="0" applyFont="0" applyFill="0" applyBorder="0" applyAlignment="0" applyProtection="0"/>
    <xf numFmtId="0" fontId="8" fillId="0" borderId="0"/>
    <xf numFmtId="167" fontId="10" fillId="0" borderId="0" applyFont="0" applyFill="0" applyBorder="0" applyAlignment="0" applyProtection="0"/>
    <xf numFmtId="0" fontId="1" fillId="5" borderId="1"/>
  </cellStyleXfs>
  <cellXfs count="41">
    <xf numFmtId="0" fontId="0" fillId="0" borderId="0" xfId="0"/>
    <xf numFmtId="0" fontId="2" fillId="2" borderId="0" xfId="0" applyFont="1" applyFill="1"/>
    <xf numFmtId="0" fontId="2" fillId="3" borderId="0" xfId="0" applyFont="1" applyFill="1"/>
    <xf numFmtId="0" fontId="7" fillId="0" borderId="0" xfId="0" applyFont="1"/>
    <xf numFmtId="0" fontId="0" fillId="0" borderId="0" xfId="0" applyFont="1"/>
    <xf numFmtId="20" fontId="7" fillId="0" borderId="0" xfId="0" applyNumberFormat="1" applyFont="1"/>
    <xf numFmtId="0" fontId="8" fillId="0" borderId="0" xfId="3"/>
    <xf numFmtId="164" fontId="8" fillId="0" borderId="0" xfId="3" applyNumberFormat="1"/>
    <xf numFmtId="0" fontId="8" fillId="0" borderId="0" xfId="3" applyAlignment="1">
      <alignment horizontal="center"/>
    </xf>
    <xf numFmtId="165" fontId="8" fillId="0" borderId="0" xfId="3" applyNumberFormat="1"/>
    <xf numFmtId="14" fontId="8" fillId="0" borderId="0" xfId="3" applyNumberFormat="1"/>
    <xf numFmtId="166" fontId="8" fillId="0" borderId="0" xfId="3" applyNumberFormat="1"/>
    <xf numFmtId="169" fontId="8" fillId="0" borderId="0" xfId="3" applyNumberFormat="1"/>
    <xf numFmtId="170" fontId="8" fillId="0" borderId="0" xfId="3" applyNumberFormat="1"/>
    <xf numFmtId="171" fontId="8" fillId="0" borderId="0" xfId="3" applyNumberFormat="1"/>
    <xf numFmtId="12" fontId="8" fillId="0" borderId="0" xfId="3" applyNumberFormat="1"/>
    <xf numFmtId="11" fontId="8" fillId="0" borderId="0" xfId="3" applyNumberFormat="1"/>
    <xf numFmtId="0" fontId="8" fillId="0" borderId="0" xfId="3" applyAlignment="1">
      <alignment horizontal="left"/>
    </xf>
    <xf numFmtId="44" fontId="8" fillId="0" borderId="0" xfId="2" applyFont="1"/>
    <xf numFmtId="0" fontId="8" fillId="0" borderId="0" xfId="3" applyFont="1" applyAlignment="1">
      <alignment horizontal="left"/>
    </xf>
    <xf numFmtId="14" fontId="0" fillId="0" borderId="0" xfId="0" applyNumberFormat="1"/>
    <xf numFmtId="0" fontId="8" fillId="0" borderId="0" xfId="3" applyFill="1" applyAlignment="1">
      <alignment horizontal="left"/>
    </xf>
    <xf numFmtId="6" fontId="8" fillId="0" borderId="0" xfId="3" applyNumberFormat="1"/>
    <xf numFmtId="18" fontId="0" fillId="0" borderId="0" xfId="0" applyNumberFormat="1"/>
    <xf numFmtId="22" fontId="0" fillId="0" borderId="0" xfId="0" applyNumberFormat="1"/>
    <xf numFmtId="3" fontId="0" fillId="0" borderId="0" xfId="0" applyNumberFormat="1"/>
    <xf numFmtId="9" fontId="8" fillId="0" borderId="0" xfId="3" applyNumberFormat="1"/>
    <xf numFmtId="0" fontId="0" fillId="4" borderId="0" xfId="0" applyFill="1"/>
    <xf numFmtId="0" fontId="6" fillId="4" borderId="0" xfId="0" applyFont="1" applyFill="1"/>
    <xf numFmtId="0" fontId="1" fillId="4" borderId="0" xfId="0" applyFont="1" applyFill="1"/>
    <xf numFmtId="0" fontId="9" fillId="4" borderId="1" xfId="3" applyFont="1" applyFill="1" applyBorder="1" applyAlignment="1">
      <alignment horizontal="center"/>
    </xf>
    <xf numFmtId="0" fontId="3" fillId="2" borderId="0" xfId="0" applyFont="1" applyFill="1"/>
    <xf numFmtId="175" fontId="0" fillId="0" borderId="0" xfId="0" applyNumberFormat="1"/>
    <xf numFmtId="0" fontId="5" fillId="0" borderId="0" xfId="0" applyFont="1" applyAlignment="1">
      <alignment vertical="center"/>
    </xf>
    <xf numFmtId="180" fontId="0" fillId="0" borderId="0" xfId="4" applyNumberFormat="1" applyFont="1"/>
    <xf numFmtId="180" fontId="8" fillId="0" borderId="0" xfId="3" applyNumberFormat="1"/>
    <xf numFmtId="167" fontId="0" fillId="0" borderId="0" xfId="4" applyFont="1"/>
    <xf numFmtId="49" fontId="0" fillId="0" borderId="0" xfId="0" applyNumberFormat="1"/>
    <xf numFmtId="181" fontId="0" fillId="0" borderId="0" xfId="0" applyNumberFormat="1"/>
    <xf numFmtId="180" fontId="0" fillId="0" borderId="0" xfId="1" applyNumberFormat="1" applyFont="1"/>
    <xf numFmtId="185" fontId="0" fillId="0" borderId="0" xfId="4" applyNumberFormat="1" applyFont="1"/>
  </cellXfs>
  <cellStyles count="6">
    <cellStyle name="Estilo 1" xfId="5" xr:uid="{F108A616-6A31-497C-9F51-7D0AAF2598A1}"/>
    <cellStyle name="Millares" xfId="1" builtinId="3"/>
    <cellStyle name="Millares 2" xfId="4" xr:uid="{D455D08A-AA82-4DE3-BCCF-FA4B7E4FD5AD}"/>
    <cellStyle name="Moneda" xfId="2" builtinId="4"/>
    <cellStyle name="Normal" xfId="0" builtinId="0"/>
    <cellStyle name="Normal 2" xfId="3" xr:uid="{975717B2-119E-4023-84A9-6514F6353110}"/>
  </cellStyles>
  <dxfs count="17">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numFmt numFmtId="180" formatCode="_(* #,##0_);_(* \(#,##0\);_(* &quot;-&quot;??_);_(@_)"/>
    </dxf>
    <dxf>
      <numFmt numFmtId="181" formatCode="_([$$-409]* #,##0.00_);_([$$-409]* \(#,##0.00\);_([$$-409]* &quot;-&quot;??_);_(@_)"/>
    </dxf>
    <dxf>
      <numFmt numFmtId="181" formatCode="_([$$-409]* #,##0.00_);_([$$-409]* \(#,##0.00\);_([$$-409]* &quot;-&quot;??_);_(@_)"/>
    </dxf>
    <dxf>
      <numFmt numFmtId="30" formatCode="@"/>
    </dxf>
    <dxf>
      <fill>
        <patternFill patternType="solid">
          <fgColor indexed="64"/>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7</xdr:col>
      <xdr:colOff>307600</xdr:colOff>
      <xdr:row>6</xdr:row>
      <xdr:rowOff>211231</xdr:rowOff>
    </xdr:from>
    <xdr:to>
      <xdr:col>11</xdr:col>
      <xdr:colOff>478491</xdr:colOff>
      <xdr:row>21</xdr:row>
      <xdr:rowOff>114299</xdr:rowOff>
    </xdr:to>
    <xdr:grpSp>
      <xdr:nvGrpSpPr>
        <xdr:cNvPr id="4" name="Grupo 3">
          <a:extLst>
            <a:ext uri="{FF2B5EF4-FFF2-40B4-BE49-F238E27FC236}">
              <a16:creationId xmlns:a16="http://schemas.microsoft.com/office/drawing/2014/main" id="{B4C772ED-CDCF-5E43-3B44-3A2440EEBA40}"/>
            </a:ext>
          </a:extLst>
        </xdr:cNvPr>
        <xdr:cNvGrpSpPr/>
      </xdr:nvGrpSpPr>
      <xdr:grpSpPr>
        <a:xfrm>
          <a:off x="9013450" y="1659031"/>
          <a:ext cx="4199966" cy="3332068"/>
          <a:chOff x="5067300" y="1200150"/>
          <a:chExt cx="4838700" cy="3876675"/>
        </a:xfrm>
      </xdr:grpSpPr>
      <xdr:sp macro="" textlink="">
        <xdr:nvSpPr>
          <xdr:cNvPr id="3" name="Rectángulo 2">
            <a:extLst>
              <a:ext uri="{FF2B5EF4-FFF2-40B4-BE49-F238E27FC236}">
                <a16:creationId xmlns:a16="http://schemas.microsoft.com/office/drawing/2014/main" id="{28E92FAF-1370-F03D-3663-B776A4A545CA}"/>
              </a:ext>
            </a:extLst>
          </xdr:cNvPr>
          <xdr:cNvSpPr/>
        </xdr:nvSpPr>
        <xdr:spPr>
          <a:xfrm>
            <a:off x="5067300" y="1200150"/>
            <a:ext cx="4838700" cy="3876675"/>
          </a:xfrm>
          <a:prstGeom prst="rect">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 name="Imagen 1">
            <a:extLst>
              <a:ext uri="{FF2B5EF4-FFF2-40B4-BE49-F238E27FC236}">
                <a16:creationId xmlns:a16="http://schemas.microsoft.com/office/drawing/2014/main" id="{EE303DE6-B981-4F25-9E5D-20EEFE282F1B}"/>
              </a:ext>
            </a:extLst>
          </xdr:cNvPr>
          <xdr:cNvPicPr>
            <a:picLocks noChangeAspect="1"/>
          </xdr:cNvPicPr>
        </xdr:nvPicPr>
        <xdr:blipFill rotWithShape="1">
          <a:blip xmlns:r="http://schemas.openxmlformats.org/officeDocument/2006/relationships" r:embed="rId1"/>
          <a:srcRect t="321"/>
          <a:stretch/>
        </xdr:blipFill>
        <xdr:spPr>
          <a:xfrm>
            <a:off x="5200650" y="1294539"/>
            <a:ext cx="4600576" cy="3642902"/>
          </a:xfrm>
          <a:prstGeom prst="rect">
            <a:avLst/>
          </a:prstGeom>
        </xdr:spPr>
      </xdr:pic>
    </xdr:grpSp>
    <xdr:clientData/>
  </xdr:twoCellAnchor>
  <xdr:twoCellAnchor>
    <xdr:from>
      <xdr:col>4</xdr:col>
      <xdr:colOff>561975</xdr:colOff>
      <xdr:row>58</xdr:row>
      <xdr:rowOff>123825</xdr:rowOff>
    </xdr:from>
    <xdr:to>
      <xdr:col>5</xdr:col>
      <xdr:colOff>190500</xdr:colOff>
      <xdr:row>59</xdr:row>
      <xdr:rowOff>161925</xdr:rowOff>
    </xdr:to>
    <xdr:sp macro="" textlink="">
      <xdr:nvSpPr>
        <xdr:cNvPr id="14" name="Rectángulo 13">
          <a:extLst>
            <a:ext uri="{FF2B5EF4-FFF2-40B4-BE49-F238E27FC236}">
              <a16:creationId xmlns:a16="http://schemas.microsoft.com/office/drawing/2014/main" id="{6AF860FA-D2E0-408A-BD2A-B2C93211923A}"/>
            </a:ext>
          </a:extLst>
        </xdr:cNvPr>
        <xdr:cNvSpPr/>
      </xdr:nvSpPr>
      <xdr:spPr>
        <a:xfrm>
          <a:off x="5981700" y="13477875"/>
          <a:ext cx="209550" cy="26670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A8C24B-7C3B-4757-B281-74B869232B1E}" name="Table1" displayName="Table1" ref="E15:J18" totalsRowCount="1" headerRowDxfId="16">
  <autoFilter ref="E15:J17" xr:uid="{ADA8C24B-7C3B-4757-B281-74B869232B1E}"/>
  <tableColumns count="6">
    <tableColumn id="1" xr3:uid="{5C4C7989-ABA3-49D9-A003-26D415CB682D}" name="EmployeeID" totalsRowLabel="Total" dataDxfId="15"/>
    <tableColumn id="2" xr3:uid="{96192267-125C-4024-848E-B0ADF2DA914C}" name="Name"/>
    <tableColumn id="3" xr3:uid="{9980E0B5-FBE4-4380-AA78-6E9EAE495BE1}" name="Department"/>
    <tableColumn id="4" xr3:uid="{8AA05057-70E0-4E81-A011-9353D87A205E}" name="Hire Date"/>
    <tableColumn id="5" xr3:uid="{CA81DC87-8D32-425E-893D-969E428C4A2C}" name="Salary" totalsRowFunction="sum" dataDxfId="14" totalsRowDxfId="13"/>
    <tableColumn id="6" xr3:uid="{1E0E1577-4168-4E07-BA7B-062C78C03D5F}" name="Days Employeed" dataDxfId="12">
      <calculatedColumnFormula>NOW()-Table1[[#This Row],[Hire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ector">
  <a:themeElements>
    <a:clrScheme name="Excel">
      <a:dk1>
        <a:sysClr val="windowText" lastClr="000000"/>
      </a:dk1>
      <a:lt1>
        <a:sysClr val="window" lastClr="FFFFFF"/>
      </a:lt1>
      <a:dk2>
        <a:srgbClr val="44546A"/>
      </a:dk2>
      <a:lt2>
        <a:srgbClr val="E7E6E6"/>
      </a:lt2>
      <a:accent1>
        <a:srgbClr val="1E50C5"/>
      </a:accent1>
      <a:accent2>
        <a:srgbClr val="00E0FA"/>
      </a:accent2>
      <a:accent3>
        <a:srgbClr val="0075FF"/>
      </a:accent3>
      <a:accent4>
        <a:srgbClr val="B20020"/>
      </a:accent4>
      <a:accent5>
        <a:srgbClr val="FDBD1F"/>
      </a:accent5>
      <a:accent6>
        <a:srgbClr val="99CC33"/>
      </a:accent6>
      <a:hlink>
        <a:srgbClr val="0563C1"/>
      </a:hlink>
      <a:folHlink>
        <a:srgbClr val="954F72"/>
      </a:folHlink>
    </a:clrScheme>
    <a:fontScheme name="Sector">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ector">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ADDE3-B47C-4304-9C32-2EF31FA70322}">
  <sheetPr>
    <pageSetUpPr autoPageBreaks="0"/>
  </sheetPr>
  <dimension ref="B2:G31"/>
  <sheetViews>
    <sheetView tabSelected="1" workbookViewId="0"/>
  </sheetViews>
  <sheetFormatPr baseColWidth="10" defaultRowHeight="18" x14ac:dyDescent="0.35"/>
  <cols>
    <col min="1" max="1" width="1.5546875" customWidth="1"/>
    <col min="2" max="2" width="21.21875" customWidth="1"/>
    <col min="3" max="3" width="8.6640625" customWidth="1"/>
    <col min="4" max="4" width="3.88671875" customWidth="1"/>
    <col min="5" max="5" width="6.77734375" customWidth="1"/>
    <col min="6" max="6" width="22.44140625" customWidth="1"/>
    <col min="7" max="7" width="37" bestFit="1" customWidth="1"/>
    <col min="10" max="10" width="12.33203125" customWidth="1"/>
  </cols>
  <sheetData>
    <row r="2" spans="2:7" ht="22.5" x14ac:dyDescent="0.45">
      <c r="B2" s="1" t="s">
        <v>2</v>
      </c>
    </row>
    <row r="3" spans="2:7" x14ac:dyDescent="0.35">
      <c r="B3" t="s">
        <v>3</v>
      </c>
    </row>
    <row r="4" spans="2:7" x14ac:dyDescent="0.35">
      <c r="B4" t="s">
        <v>4</v>
      </c>
    </row>
    <row r="6" spans="2:7" ht="19.5" x14ac:dyDescent="0.4">
      <c r="B6" s="29" t="s">
        <v>0</v>
      </c>
      <c r="C6" s="29" t="s">
        <v>1</v>
      </c>
      <c r="F6" s="31" t="s">
        <v>5</v>
      </c>
    </row>
    <row r="7" spans="2:7" x14ac:dyDescent="0.35">
      <c r="B7" t="s">
        <v>5</v>
      </c>
      <c r="C7" s="3" t="s">
        <v>59</v>
      </c>
    </row>
    <row r="8" spans="2:7" x14ac:dyDescent="0.35">
      <c r="B8" t="s">
        <v>54</v>
      </c>
      <c r="C8" s="3" t="s">
        <v>60</v>
      </c>
      <c r="F8" s="29" t="s">
        <v>6</v>
      </c>
      <c r="G8" s="29" t="s">
        <v>7</v>
      </c>
    </row>
    <row r="9" spans="2:7" x14ac:dyDescent="0.35">
      <c r="B9" t="s">
        <v>55</v>
      </c>
      <c r="C9" s="3" t="s">
        <v>59</v>
      </c>
      <c r="F9" t="s">
        <v>8</v>
      </c>
      <c r="G9" t="s">
        <v>9</v>
      </c>
    </row>
    <row r="10" spans="2:7" x14ac:dyDescent="0.35">
      <c r="B10" t="s">
        <v>56</v>
      </c>
      <c r="C10" s="3" t="s">
        <v>59</v>
      </c>
      <c r="F10" t="s">
        <v>10</v>
      </c>
      <c r="G10" t="s">
        <v>11</v>
      </c>
    </row>
    <row r="11" spans="2:7" x14ac:dyDescent="0.35">
      <c r="B11" t="s">
        <v>57</v>
      </c>
      <c r="C11" s="5" t="s">
        <v>60</v>
      </c>
      <c r="F11" t="s">
        <v>12</v>
      </c>
      <c r="G11" t="s">
        <v>13</v>
      </c>
    </row>
    <row r="12" spans="2:7" x14ac:dyDescent="0.35">
      <c r="B12" t="s">
        <v>58</v>
      </c>
      <c r="C12" s="3" t="s">
        <v>59</v>
      </c>
      <c r="F12" t="s">
        <v>14</v>
      </c>
      <c r="G12" t="s">
        <v>15</v>
      </c>
    </row>
    <row r="13" spans="2:7" x14ac:dyDescent="0.35">
      <c r="F13" t="s">
        <v>16</v>
      </c>
      <c r="G13" t="s">
        <v>17</v>
      </c>
    </row>
    <row r="14" spans="2:7" x14ac:dyDescent="0.35">
      <c r="F14" t="s">
        <v>18</v>
      </c>
      <c r="G14" t="s">
        <v>19</v>
      </c>
    </row>
    <row r="15" spans="2:7" x14ac:dyDescent="0.35">
      <c r="F15" t="s">
        <v>20</v>
      </c>
      <c r="G15" t="s">
        <v>21</v>
      </c>
    </row>
    <row r="16" spans="2:7" x14ac:dyDescent="0.35">
      <c r="F16" t="s">
        <v>22</v>
      </c>
      <c r="G16" t="s">
        <v>23</v>
      </c>
    </row>
    <row r="17" spans="6:7" x14ac:dyDescent="0.35">
      <c r="F17" t="s">
        <v>24</v>
      </c>
      <c r="G17" t="s">
        <v>25</v>
      </c>
    </row>
    <row r="18" spans="6:7" x14ac:dyDescent="0.35">
      <c r="F18" t="s">
        <v>26</v>
      </c>
      <c r="G18" t="s">
        <v>27</v>
      </c>
    </row>
    <row r="19" spans="6:7" x14ac:dyDescent="0.35">
      <c r="F19" t="s">
        <v>28</v>
      </c>
      <c r="G19" t="s">
        <v>29</v>
      </c>
    </row>
    <row r="20" spans="6:7" x14ac:dyDescent="0.35">
      <c r="F20" t="s">
        <v>30</v>
      </c>
      <c r="G20" t="s">
        <v>31</v>
      </c>
    </row>
    <row r="21" spans="6:7" x14ac:dyDescent="0.35">
      <c r="F21" t="s">
        <v>32</v>
      </c>
      <c r="G21" t="s">
        <v>33</v>
      </c>
    </row>
    <row r="22" spans="6:7" x14ac:dyDescent="0.35">
      <c r="F22" t="s">
        <v>34</v>
      </c>
      <c r="G22" t="s">
        <v>35</v>
      </c>
    </row>
    <row r="23" spans="6:7" x14ac:dyDescent="0.35">
      <c r="F23" t="s">
        <v>36</v>
      </c>
      <c r="G23" t="s">
        <v>37</v>
      </c>
    </row>
    <row r="24" spans="6:7" x14ac:dyDescent="0.35">
      <c r="F24" t="s">
        <v>38</v>
      </c>
      <c r="G24" t="s">
        <v>39</v>
      </c>
    </row>
    <row r="25" spans="6:7" x14ac:dyDescent="0.35">
      <c r="F25" t="s">
        <v>40</v>
      </c>
      <c r="G25" t="s">
        <v>41</v>
      </c>
    </row>
    <row r="26" spans="6:7" x14ac:dyDescent="0.35">
      <c r="F26" t="s">
        <v>42</v>
      </c>
      <c r="G26" t="s">
        <v>43</v>
      </c>
    </row>
    <row r="27" spans="6:7" x14ac:dyDescent="0.35">
      <c r="F27" t="s">
        <v>44</v>
      </c>
      <c r="G27" t="s">
        <v>45</v>
      </c>
    </row>
    <row r="28" spans="6:7" x14ac:dyDescent="0.35">
      <c r="F28" t="s">
        <v>46</v>
      </c>
      <c r="G28" t="s">
        <v>47</v>
      </c>
    </row>
    <row r="29" spans="6:7" x14ac:dyDescent="0.35">
      <c r="F29" t="s">
        <v>48</v>
      </c>
      <c r="G29" t="s">
        <v>49</v>
      </c>
    </row>
    <row r="30" spans="6:7" x14ac:dyDescent="0.35">
      <c r="F30" t="s">
        <v>50</v>
      </c>
      <c r="G30" t="s">
        <v>51</v>
      </c>
    </row>
    <row r="31" spans="6:7" x14ac:dyDescent="0.35">
      <c r="F31" t="s">
        <v>52</v>
      </c>
      <c r="G31" t="s">
        <v>53</v>
      </c>
    </row>
  </sheetData>
  <conditionalFormatting sqref="B7:C12 B14:B16">
    <cfRule type="expression" dxfId="11" priority="1">
      <formula>$C7="X"</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3F24E-DDBA-465D-A59B-28DCDA7B2A8D}">
  <dimension ref="B2:J20"/>
  <sheetViews>
    <sheetView workbookViewId="0"/>
  </sheetViews>
  <sheetFormatPr baseColWidth="10" defaultRowHeight="18" x14ac:dyDescent="0.35"/>
  <cols>
    <col min="1" max="1" width="3.5546875" customWidth="1"/>
    <col min="2" max="2" width="23.5546875" customWidth="1"/>
    <col min="3" max="3" width="8.6640625" customWidth="1"/>
    <col min="4" max="4" width="4.5546875" customWidth="1"/>
    <col min="5" max="5" width="10.5546875" bestFit="1" customWidth="1"/>
    <col min="6" max="6" width="20" bestFit="1" customWidth="1"/>
    <col min="7" max="7" width="16.88671875" bestFit="1" customWidth="1"/>
    <col min="8" max="8" width="2.6640625" customWidth="1"/>
    <col min="9" max="9" width="23.77734375" customWidth="1"/>
    <col min="10" max="10" width="33.44140625" customWidth="1"/>
  </cols>
  <sheetData>
    <row r="2" spans="2:10" ht="22.5" x14ac:dyDescent="0.45">
      <c r="B2" s="2" t="s">
        <v>67</v>
      </c>
    </row>
    <row r="3" spans="2:10" x14ac:dyDescent="0.35">
      <c r="B3" t="s">
        <v>94</v>
      </c>
    </row>
    <row r="4" spans="2:10" x14ac:dyDescent="0.35">
      <c r="B4" t="s">
        <v>61</v>
      </c>
    </row>
    <row r="6" spans="2:10" x14ac:dyDescent="0.35">
      <c r="B6" s="29" t="s">
        <v>0</v>
      </c>
      <c r="C6" s="29" t="s">
        <v>1</v>
      </c>
      <c r="E6" s="30" t="s">
        <v>68</v>
      </c>
      <c r="F6" s="30" t="s">
        <v>69</v>
      </c>
      <c r="G6" s="30" t="s">
        <v>70</v>
      </c>
      <c r="H6" s="6"/>
      <c r="I6" s="30" t="s">
        <v>71</v>
      </c>
      <c r="J6" s="30" t="s">
        <v>72</v>
      </c>
    </row>
    <row r="7" spans="2:10" x14ac:dyDescent="0.35">
      <c r="B7" t="s">
        <v>62</v>
      </c>
      <c r="C7" s="3" t="s">
        <v>60</v>
      </c>
      <c r="E7" s="6">
        <v>1200</v>
      </c>
      <c r="F7" s="7">
        <v>1200</v>
      </c>
      <c r="G7" s="8" t="s">
        <v>73</v>
      </c>
      <c r="H7" s="6"/>
      <c r="I7" s="8" t="s">
        <v>74</v>
      </c>
      <c r="J7" s="19" t="s">
        <v>75</v>
      </c>
    </row>
    <row r="8" spans="2:10" x14ac:dyDescent="0.35">
      <c r="B8" t="s">
        <v>63</v>
      </c>
      <c r="C8" s="3" t="s">
        <v>60</v>
      </c>
      <c r="E8" s="26">
        <v>0.23100000000000001</v>
      </c>
      <c r="F8" s="9">
        <v>0.23100000000000001</v>
      </c>
      <c r="G8" s="8" t="s">
        <v>76</v>
      </c>
      <c r="H8" s="6"/>
      <c r="I8" s="8" t="s">
        <v>77</v>
      </c>
      <c r="J8" s="17" t="s">
        <v>78</v>
      </c>
    </row>
    <row r="9" spans="2:10" x14ac:dyDescent="0.35">
      <c r="B9" t="s">
        <v>64</v>
      </c>
      <c r="C9" s="3" t="s">
        <v>60</v>
      </c>
      <c r="E9" s="6">
        <v>43603</v>
      </c>
      <c r="F9" s="10">
        <f>E9</f>
        <v>43603</v>
      </c>
      <c r="G9" s="8" t="s">
        <v>79</v>
      </c>
      <c r="H9" s="6"/>
      <c r="I9" s="8" t="s">
        <v>80</v>
      </c>
      <c r="J9" s="17" t="s">
        <v>81</v>
      </c>
    </row>
    <row r="10" spans="2:10" x14ac:dyDescent="0.35">
      <c r="B10" t="s">
        <v>65</v>
      </c>
      <c r="C10" s="3" t="s">
        <v>60</v>
      </c>
      <c r="E10" s="6">
        <v>43603</v>
      </c>
      <c r="F10" s="11">
        <f>E10</f>
        <v>43603</v>
      </c>
      <c r="G10" s="8" t="s">
        <v>82</v>
      </c>
      <c r="H10" s="6"/>
      <c r="I10" s="8" t="s">
        <v>83</v>
      </c>
      <c r="J10" s="17" t="s">
        <v>84</v>
      </c>
    </row>
    <row r="11" spans="2:10" x14ac:dyDescent="0.35">
      <c r="B11" t="s">
        <v>66</v>
      </c>
      <c r="C11" s="5" t="s">
        <v>60</v>
      </c>
      <c r="E11" s="6">
        <v>123439832</v>
      </c>
      <c r="F11" s="18">
        <v>123439832</v>
      </c>
      <c r="G11" s="8" t="s">
        <v>85</v>
      </c>
      <c r="H11" s="6"/>
      <c r="I11" s="6"/>
      <c r="J11" s="6"/>
    </row>
    <row r="12" spans="2:10" x14ac:dyDescent="0.35">
      <c r="E12" s="6">
        <v>5559832</v>
      </c>
      <c r="F12" s="12">
        <v>5559832</v>
      </c>
      <c r="G12" s="8" t="s">
        <v>86</v>
      </c>
      <c r="H12" s="6"/>
    </row>
    <row r="13" spans="2:10" x14ac:dyDescent="0.35">
      <c r="E13" s="6">
        <v>434988723</v>
      </c>
      <c r="F13" s="13">
        <v>434988723</v>
      </c>
      <c r="G13" s="8" t="s">
        <v>87</v>
      </c>
      <c r="H13" s="6"/>
      <c r="I13" s="20"/>
      <c r="J13" s="21"/>
    </row>
    <row r="14" spans="2:10" x14ac:dyDescent="0.35">
      <c r="E14" s="6">
        <v>0.55200000000000005</v>
      </c>
      <c r="F14" s="14">
        <v>0.55199999999999994</v>
      </c>
      <c r="G14" s="8" t="s">
        <v>88</v>
      </c>
      <c r="H14" s="6"/>
      <c r="I14" s="20"/>
      <c r="J14" s="21"/>
    </row>
    <row r="15" spans="2:10" x14ac:dyDescent="0.35">
      <c r="E15" s="6">
        <v>0.25</v>
      </c>
      <c r="F15" s="15">
        <v>0.25</v>
      </c>
      <c r="G15" s="8" t="s">
        <v>89</v>
      </c>
      <c r="H15" s="6"/>
      <c r="I15" s="20"/>
      <c r="J15" s="6"/>
    </row>
    <row r="16" spans="2:10" x14ac:dyDescent="0.35">
      <c r="E16" s="6">
        <v>12332354090</v>
      </c>
      <c r="F16" s="16">
        <v>12332354090</v>
      </c>
      <c r="G16" s="8" t="s">
        <v>90</v>
      </c>
      <c r="H16" s="6"/>
      <c r="I16" s="20"/>
      <c r="J16" s="6"/>
    </row>
    <row r="17" spans="5:9" x14ac:dyDescent="0.35">
      <c r="E17" s="6"/>
      <c r="F17" s="22"/>
      <c r="G17" s="8"/>
      <c r="I17" s="20"/>
    </row>
    <row r="18" spans="5:9" x14ac:dyDescent="0.35">
      <c r="I18" s="20"/>
    </row>
    <row r="19" spans="5:9" x14ac:dyDescent="0.35">
      <c r="E19" s="20"/>
      <c r="F19" s="23"/>
      <c r="G19" s="24"/>
      <c r="I19" s="20"/>
    </row>
    <row r="20" spans="5:9" x14ac:dyDescent="0.35">
      <c r="F20" s="25"/>
      <c r="I20" s="20"/>
    </row>
  </sheetData>
  <conditionalFormatting sqref="B7:C11">
    <cfRule type="expression" dxfId="10" priority="1">
      <formula>$C7="X"</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C5CF2-35C2-4075-A939-FEAFE2C30F10}">
  <dimension ref="A2:U106"/>
  <sheetViews>
    <sheetView workbookViewId="0">
      <selection activeCell="E6" sqref="E6:U106"/>
    </sheetView>
  </sheetViews>
  <sheetFormatPr baseColWidth="10" defaultRowHeight="18" x14ac:dyDescent="0.35"/>
  <cols>
    <col min="1" max="1" width="3.44140625" customWidth="1"/>
    <col min="2" max="2" width="31" customWidth="1"/>
    <col min="3" max="3" width="11.5546875" customWidth="1"/>
    <col min="4" max="4" width="4.5546875" customWidth="1"/>
    <col min="5" max="5" width="11.5546875" customWidth="1"/>
    <col min="7" max="7" width="11.5546875" customWidth="1"/>
    <col min="8" max="8" width="8" bestFit="1" customWidth="1"/>
    <col min="9" max="9" width="9.77734375" customWidth="1"/>
    <col min="13" max="13" width="15.77734375" bestFit="1" customWidth="1"/>
    <col min="14" max="14" width="12.44140625" bestFit="1" customWidth="1"/>
    <col min="15" max="15" width="16.6640625" bestFit="1" customWidth="1"/>
    <col min="16" max="16" width="14" bestFit="1" customWidth="1"/>
    <col min="17" max="17" width="13.33203125" bestFit="1" customWidth="1"/>
    <col min="18" max="18" width="15.6640625" bestFit="1" customWidth="1"/>
  </cols>
  <sheetData>
    <row r="2" spans="2:21" ht="22.5" x14ac:dyDescent="0.45">
      <c r="B2" s="1" t="s">
        <v>91</v>
      </c>
    </row>
    <row r="3" spans="2:21" x14ac:dyDescent="0.35">
      <c r="B3" t="s">
        <v>93</v>
      </c>
    </row>
    <row r="4" spans="2:21" x14ac:dyDescent="0.35">
      <c r="B4" t="s">
        <v>92</v>
      </c>
    </row>
    <row r="6" spans="2:21" x14ac:dyDescent="0.35">
      <c r="B6" s="29" t="s">
        <v>0</v>
      </c>
      <c r="C6" s="29" t="s">
        <v>1</v>
      </c>
      <c r="E6" s="28" t="s">
        <v>98</v>
      </c>
      <c r="F6" s="28" t="s">
        <v>99</v>
      </c>
      <c r="G6" s="28" t="s">
        <v>100</v>
      </c>
      <c r="H6" s="28" t="s">
        <v>101</v>
      </c>
      <c r="I6" s="28" t="s">
        <v>102</v>
      </c>
      <c r="J6" s="28" t="s">
        <v>103</v>
      </c>
      <c r="K6" s="28" t="s">
        <v>104</v>
      </c>
      <c r="L6" s="28" t="s">
        <v>105</v>
      </c>
      <c r="M6" s="28" t="s">
        <v>106</v>
      </c>
      <c r="N6" s="28" t="s">
        <v>107</v>
      </c>
      <c r="O6" s="28" t="s">
        <v>108</v>
      </c>
      <c r="P6" s="28" t="s">
        <v>109</v>
      </c>
      <c r="Q6" s="28" t="s">
        <v>110</v>
      </c>
      <c r="R6" s="28" t="s">
        <v>111</v>
      </c>
      <c r="S6" s="28" t="s">
        <v>112</v>
      </c>
      <c r="T6" s="28" t="s">
        <v>113</v>
      </c>
      <c r="U6" s="28" t="s">
        <v>114</v>
      </c>
    </row>
    <row r="7" spans="2:21" x14ac:dyDescent="0.35">
      <c r="B7" t="s">
        <v>95</v>
      </c>
      <c r="C7" s="3" t="s">
        <v>60</v>
      </c>
      <c r="E7" t="s">
        <v>115</v>
      </c>
      <c r="F7">
        <v>43697001</v>
      </c>
      <c r="G7">
        <v>1</v>
      </c>
      <c r="H7">
        <v>2171.29</v>
      </c>
      <c r="I7">
        <v>3578.27</v>
      </c>
      <c r="J7" s="32">
        <v>42917</v>
      </c>
      <c r="K7" s="32">
        <v>42921</v>
      </c>
      <c r="L7">
        <v>4</v>
      </c>
      <c r="M7" t="s">
        <v>116</v>
      </c>
      <c r="N7" t="s">
        <v>117</v>
      </c>
      <c r="O7" t="s">
        <v>118</v>
      </c>
      <c r="P7" t="s">
        <v>119</v>
      </c>
      <c r="Q7" t="s">
        <v>120</v>
      </c>
      <c r="R7" t="s">
        <v>121</v>
      </c>
      <c r="S7" t="s">
        <v>122</v>
      </c>
      <c r="T7" t="s">
        <v>123</v>
      </c>
      <c r="U7" t="s">
        <v>124</v>
      </c>
    </row>
    <row r="8" spans="2:21" x14ac:dyDescent="0.35">
      <c r="B8" t="s">
        <v>96</v>
      </c>
      <c r="C8" s="3" t="s">
        <v>60</v>
      </c>
      <c r="E8" t="s">
        <v>125</v>
      </c>
      <c r="F8">
        <v>43698001</v>
      </c>
      <c r="G8">
        <v>1</v>
      </c>
      <c r="H8">
        <v>1912.15</v>
      </c>
      <c r="I8">
        <v>3399.99</v>
      </c>
      <c r="J8" s="32">
        <v>42917</v>
      </c>
      <c r="K8" s="32">
        <v>42927</v>
      </c>
      <c r="L8">
        <v>10</v>
      </c>
      <c r="M8" t="s">
        <v>126</v>
      </c>
      <c r="N8" t="s">
        <v>127</v>
      </c>
      <c r="O8" t="s">
        <v>128</v>
      </c>
      <c r="P8" t="s">
        <v>129</v>
      </c>
      <c r="Q8" t="s">
        <v>120</v>
      </c>
      <c r="R8" t="s">
        <v>130</v>
      </c>
      <c r="S8" t="s">
        <v>131</v>
      </c>
      <c r="T8" t="s">
        <v>132</v>
      </c>
      <c r="U8" t="s">
        <v>133</v>
      </c>
    </row>
    <row r="9" spans="2:21" x14ac:dyDescent="0.35">
      <c r="B9" t="s">
        <v>97</v>
      </c>
      <c r="C9" s="3" t="s">
        <v>60</v>
      </c>
      <c r="E9" t="s">
        <v>134</v>
      </c>
      <c r="F9">
        <v>43699001</v>
      </c>
      <c r="G9">
        <v>1</v>
      </c>
      <c r="H9">
        <v>1912.15</v>
      </c>
      <c r="I9">
        <v>3399.99</v>
      </c>
      <c r="J9" s="32">
        <v>42917</v>
      </c>
      <c r="K9" s="32">
        <v>42922</v>
      </c>
      <c r="L9">
        <v>5</v>
      </c>
      <c r="M9" t="s">
        <v>135</v>
      </c>
      <c r="N9" t="s">
        <v>136</v>
      </c>
      <c r="O9" t="s">
        <v>137</v>
      </c>
      <c r="P9" t="s">
        <v>138</v>
      </c>
      <c r="Q9" t="s">
        <v>120</v>
      </c>
      <c r="R9" t="s">
        <v>130</v>
      </c>
      <c r="S9" t="s">
        <v>131</v>
      </c>
      <c r="T9" t="s">
        <v>132</v>
      </c>
      <c r="U9" t="s">
        <v>133</v>
      </c>
    </row>
    <row r="10" spans="2:21" x14ac:dyDescent="0.35">
      <c r="E10" t="s">
        <v>139</v>
      </c>
      <c r="F10">
        <v>43700001</v>
      </c>
      <c r="G10">
        <v>1</v>
      </c>
      <c r="H10">
        <v>413.15</v>
      </c>
      <c r="I10">
        <v>699.1</v>
      </c>
      <c r="J10" s="32">
        <v>42917</v>
      </c>
      <c r="K10" s="32">
        <v>42926</v>
      </c>
      <c r="L10">
        <v>9</v>
      </c>
      <c r="M10" t="s">
        <v>140</v>
      </c>
      <c r="N10" t="s">
        <v>141</v>
      </c>
      <c r="O10" t="s">
        <v>142</v>
      </c>
      <c r="P10" t="s">
        <v>138</v>
      </c>
      <c r="Q10" t="s">
        <v>120</v>
      </c>
      <c r="R10" t="s">
        <v>121</v>
      </c>
      <c r="S10" t="s">
        <v>143</v>
      </c>
      <c r="T10" t="s">
        <v>144</v>
      </c>
      <c r="U10" t="s">
        <v>145</v>
      </c>
    </row>
    <row r="11" spans="2:21" x14ac:dyDescent="0.35">
      <c r="E11" t="s">
        <v>146</v>
      </c>
      <c r="F11">
        <v>43701001</v>
      </c>
      <c r="G11">
        <v>1</v>
      </c>
      <c r="H11">
        <v>1912.15</v>
      </c>
      <c r="I11">
        <v>3399.99</v>
      </c>
      <c r="J11" s="32">
        <v>42917</v>
      </c>
      <c r="K11" s="32">
        <v>42927</v>
      </c>
      <c r="L11">
        <v>10</v>
      </c>
      <c r="M11" t="s">
        <v>147</v>
      </c>
      <c r="N11" t="s">
        <v>148</v>
      </c>
      <c r="O11" t="s">
        <v>149</v>
      </c>
      <c r="P11" t="s">
        <v>150</v>
      </c>
      <c r="Q11" t="s">
        <v>120</v>
      </c>
      <c r="R11" t="s">
        <v>130</v>
      </c>
      <c r="S11" t="s">
        <v>131</v>
      </c>
      <c r="T11" t="s">
        <v>132</v>
      </c>
      <c r="U11" t="s">
        <v>133</v>
      </c>
    </row>
    <row r="12" spans="2:21" x14ac:dyDescent="0.35">
      <c r="E12" t="s">
        <v>151</v>
      </c>
      <c r="F12">
        <v>43702001</v>
      </c>
      <c r="G12">
        <v>1</v>
      </c>
      <c r="H12">
        <v>2171.29</v>
      </c>
      <c r="I12">
        <v>3578.27</v>
      </c>
      <c r="J12" s="32">
        <v>42917</v>
      </c>
      <c r="K12" s="32">
        <v>42921</v>
      </c>
      <c r="L12">
        <v>4</v>
      </c>
      <c r="M12" t="s">
        <v>152</v>
      </c>
      <c r="O12" t="s">
        <v>142</v>
      </c>
      <c r="P12" t="s">
        <v>138</v>
      </c>
      <c r="Q12" t="s">
        <v>120</v>
      </c>
      <c r="R12" t="s">
        <v>121</v>
      </c>
      <c r="S12" t="s">
        <v>153</v>
      </c>
      <c r="T12" t="s">
        <v>123</v>
      </c>
      <c r="U12" t="s">
        <v>124</v>
      </c>
    </row>
    <row r="13" spans="2:21" x14ac:dyDescent="0.35">
      <c r="E13" t="s">
        <v>154</v>
      </c>
      <c r="F13">
        <v>43703001</v>
      </c>
      <c r="G13">
        <v>1</v>
      </c>
      <c r="H13">
        <v>2171.29</v>
      </c>
      <c r="I13">
        <v>3578.27</v>
      </c>
      <c r="J13" s="32">
        <v>42917</v>
      </c>
      <c r="K13" s="32">
        <v>42923</v>
      </c>
      <c r="L13">
        <v>6</v>
      </c>
      <c r="M13" t="s">
        <v>155</v>
      </c>
      <c r="N13" t="s">
        <v>156</v>
      </c>
      <c r="O13" t="s">
        <v>157</v>
      </c>
      <c r="P13" t="s">
        <v>150</v>
      </c>
      <c r="Q13" t="s">
        <v>120</v>
      </c>
      <c r="R13" t="s">
        <v>121</v>
      </c>
      <c r="S13" t="s">
        <v>122</v>
      </c>
      <c r="T13" t="s">
        <v>123</v>
      </c>
      <c r="U13" t="s">
        <v>124</v>
      </c>
    </row>
    <row r="14" spans="2:21" x14ac:dyDescent="0.35">
      <c r="E14" t="s">
        <v>158</v>
      </c>
      <c r="F14">
        <v>43704001</v>
      </c>
      <c r="G14">
        <v>1</v>
      </c>
      <c r="H14">
        <v>1898.09</v>
      </c>
      <c r="I14">
        <v>3374.99</v>
      </c>
      <c r="J14" s="32">
        <v>42917</v>
      </c>
      <c r="K14" s="32">
        <v>42920</v>
      </c>
      <c r="L14">
        <v>3</v>
      </c>
      <c r="M14" t="s">
        <v>159</v>
      </c>
      <c r="N14" t="s">
        <v>160</v>
      </c>
      <c r="O14" t="s">
        <v>161</v>
      </c>
      <c r="P14" t="s">
        <v>150</v>
      </c>
      <c r="Q14" t="s">
        <v>120</v>
      </c>
      <c r="R14" t="s">
        <v>130</v>
      </c>
      <c r="S14" t="s">
        <v>162</v>
      </c>
      <c r="T14" t="s">
        <v>144</v>
      </c>
      <c r="U14" t="s">
        <v>133</v>
      </c>
    </row>
    <row r="15" spans="2:21" x14ac:dyDescent="0.35">
      <c r="E15" t="s">
        <v>163</v>
      </c>
      <c r="F15">
        <v>43705001</v>
      </c>
      <c r="G15">
        <v>1</v>
      </c>
      <c r="H15">
        <v>1912.15</v>
      </c>
      <c r="I15">
        <v>3399.99</v>
      </c>
      <c r="J15" s="32">
        <v>42917</v>
      </c>
      <c r="K15" s="32">
        <v>42921</v>
      </c>
      <c r="L15">
        <v>4</v>
      </c>
      <c r="M15" t="s">
        <v>164</v>
      </c>
      <c r="N15" t="s">
        <v>160</v>
      </c>
      <c r="O15" t="s">
        <v>161</v>
      </c>
      <c r="P15" t="s">
        <v>150</v>
      </c>
      <c r="Q15" t="s">
        <v>120</v>
      </c>
      <c r="R15" t="s">
        <v>130</v>
      </c>
      <c r="S15" t="s">
        <v>165</v>
      </c>
      <c r="T15" t="s">
        <v>132</v>
      </c>
      <c r="U15" t="s">
        <v>133</v>
      </c>
    </row>
    <row r="16" spans="2:21" x14ac:dyDescent="0.35">
      <c r="E16" t="s">
        <v>166</v>
      </c>
      <c r="F16">
        <v>43706001</v>
      </c>
      <c r="G16">
        <v>1</v>
      </c>
      <c r="H16">
        <v>2171.29</v>
      </c>
      <c r="I16">
        <v>3578.27</v>
      </c>
      <c r="J16" s="32">
        <v>42918</v>
      </c>
      <c r="K16" s="32">
        <v>42924</v>
      </c>
      <c r="L16">
        <v>6</v>
      </c>
      <c r="M16" t="s">
        <v>167</v>
      </c>
      <c r="N16" t="s">
        <v>168</v>
      </c>
      <c r="O16" t="s">
        <v>142</v>
      </c>
      <c r="P16" t="s">
        <v>138</v>
      </c>
      <c r="Q16" t="s">
        <v>120</v>
      </c>
      <c r="R16" t="s">
        <v>121</v>
      </c>
      <c r="S16" t="s">
        <v>169</v>
      </c>
      <c r="T16" t="s">
        <v>123</v>
      </c>
      <c r="U16" t="s">
        <v>124</v>
      </c>
    </row>
    <row r="17" spans="5:21" x14ac:dyDescent="0.35">
      <c r="E17" t="s">
        <v>170</v>
      </c>
      <c r="F17">
        <v>43707001</v>
      </c>
      <c r="G17">
        <v>1</v>
      </c>
      <c r="H17">
        <v>2171.29</v>
      </c>
      <c r="I17">
        <v>3578.27</v>
      </c>
      <c r="J17" s="32">
        <v>42918</v>
      </c>
      <c r="K17" s="32">
        <v>42925</v>
      </c>
      <c r="L17">
        <v>7</v>
      </c>
      <c r="M17" t="s">
        <v>171</v>
      </c>
      <c r="N17" t="s">
        <v>172</v>
      </c>
      <c r="O17" t="s">
        <v>142</v>
      </c>
      <c r="P17" t="s">
        <v>138</v>
      </c>
      <c r="Q17" t="s">
        <v>120</v>
      </c>
      <c r="R17" t="s">
        <v>121</v>
      </c>
      <c r="S17" t="s">
        <v>169</v>
      </c>
      <c r="T17" t="s">
        <v>123</v>
      </c>
      <c r="U17" t="s">
        <v>124</v>
      </c>
    </row>
    <row r="18" spans="5:21" x14ac:dyDescent="0.35">
      <c r="E18" t="s">
        <v>173</v>
      </c>
      <c r="F18">
        <v>43708001</v>
      </c>
      <c r="G18">
        <v>1</v>
      </c>
      <c r="H18">
        <v>413.15</v>
      </c>
      <c r="I18">
        <v>699.1</v>
      </c>
      <c r="J18" s="32">
        <v>42918</v>
      </c>
      <c r="K18" s="32">
        <v>42921</v>
      </c>
      <c r="L18">
        <v>3</v>
      </c>
      <c r="M18" t="s">
        <v>174</v>
      </c>
      <c r="N18" t="s">
        <v>175</v>
      </c>
      <c r="O18" t="s">
        <v>176</v>
      </c>
      <c r="P18" t="s">
        <v>177</v>
      </c>
      <c r="Q18" t="s">
        <v>120</v>
      </c>
      <c r="R18" t="s">
        <v>121</v>
      </c>
      <c r="S18" t="s">
        <v>178</v>
      </c>
      <c r="T18" t="s">
        <v>123</v>
      </c>
      <c r="U18" t="s">
        <v>145</v>
      </c>
    </row>
    <row r="19" spans="5:21" x14ac:dyDescent="0.35">
      <c r="E19" t="s">
        <v>179</v>
      </c>
      <c r="F19">
        <v>43709001</v>
      </c>
      <c r="G19">
        <v>1</v>
      </c>
      <c r="H19">
        <v>2171.29</v>
      </c>
      <c r="I19">
        <v>3578.27</v>
      </c>
      <c r="J19" s="32">
        <v>42918</v>
      </c>
      <c r="K19" s="32">
        <v>42923</v>
      </c>
      <c r="L19">
        <v>5</v>
      </c>
      <c r="M19" t="s">
        <v>180</v>
      </c>
      <c r="N19" t="s">
        <v>181</v>
      </c>
      <c r="O19" t="s">
        <v>161</v>
      </c>
      <c r="P19" t="s">
        <v>150</v>
      </c>
      <c r="Q19" t="s">
        <v>120</v>
      </c>
      <c r="R19" t="s">
        <v>121</v>
      </c>
      <c r="S19" t="s">
        <v>182</v>
      </c>
      <c r="T19" t="s">
        <v>123</v>
      </c>
      <c r="U19" t="s">
        <v>124</v>
      </c>
    </row>
    <row r="20" spans="5:21" x14ac:dyDescent="0.35">
      <c r="E20" t="s">
        <v>183</v>
      </c>
      <c r="F20">
        <v>43710001</v>
      </c>
      <c r="G20">
        <v>1</v>
      </c>
      <c r="H20">
        <v>2171.29</v>
      </c>
      <c r="I20">
        <v>3578.27</v>
      </c>
      <c r="J20" s="32">
        <v>42918</v>
      </c>
      <c r="K20" s="32">
        <v>42926</v>
      </c>
      <c r="L20">
        <v>8</v>
      </c>
      <c r="M20" t="s">
        <v>184</v>
      </c>
      <c r="N20" t="s">
        <v>185</v>
      </c>
      <c r="O20" t="s">
        <v>149</v>
      </c>
      <c r="P20" t="s">
        <v>150</v>
      </c>
      <c r="Q20" t="s">
        <v>120</v>
      </c>
      <c r="R20" t="s">
        <v>121</v>
      </c>
      <c r="S20" t="s">
        <v>186</v>
      </c>
      <c r="T20" t="s">
        <v>123</v>
      </c>
      <c r="U20" t="s">
        <v>124</v>
      </c>
    </row>
    <row r="21" spans="5:21" x14ac:dyDescent="0.35">
      <c r="E21" t="s">
        <v>187</v>
      </c>
      <c r="F21">
        <v>43711001</v>
      </c>
      <c r="G21">
        <v>1</v>
      </c>
      <c r="H21">
        <v>2171.29</v>
      </c>
      <c r="I21">
        <v>3578.27</v>
      </c>
      <c r="J21" s="32">
        <v>42918</v>
      </c>
      <c r="K21" s="32">
        <v>42928</v>
      </c>
      <c r="L21">
        <v>10</v>
      </c>
      <c r="M21" t="s">
        <v>188</v>
      </c>
      <c r="N21" t="s">
        <v>189</v>
      </c>
      <c r="O21" t="s">
        <v>137</v>
      </c>
      <c r="P21" t="s">
        <v>138</v>
      </c>
      <c r="Q21" t="s">
        <v>120</v>
      </c>
      <c r="R21" t="s">
        <v>121</v>
      </c>
      <c r="S21" t="s">
        <v>186</v>
      </c>
      <c r="T21" t="s">
        <v>123</v>
      </c>
      <c r="U21" t="s">
        <v>124</v>
      </c>
    </row>
    <row r="22" spans="5:21" x14ac:dyDescent="0.35">
      <c r="E22" t="s">
        <v>190</v>
      </c>
      <c r="F22">
        <v>43712001</v>
      </c>
      <c r="G22">
        <v>1</v>
      </c>
      <c r="H22">
        <v>2171.29</v>
      </c>
      <c r="I22">
        <v>3578.27</v>
      </c>
      <c r="J22" s="32">
        <v>42918</v>
      </c>
      <c r="K22" s="32">
        <v>42924</v>
      </c>
      <c r="L22">
        <v>6</v>
      </c>
      <c r="M22" t="s">
        <v>191</v>
      </c>
      <c r="N22" t="s">
        <v>192</v>
      </c>
      <c r="O22" t="s">
        <v>193</v>
      </c>
      <c r="P22" t="s">
        <v>194</v>
      </c>
      <c r="Q22" t="s">
        <v>120</v>
      </c>
      <c r="R22" t="s">
        <v>121</v>
      </c>
      <c r="S22" t="s">
        <v>153</v>
      </c>
      <c r="T22" t="s">
        <v>123</v>
      </c>
      <c r="U22" t="s">
        <v>124</v>
      </c>
    </row>
    <row r="23" spans="5:21" x14ac:dyDescent="0.35">
      <c r="E23" t="s">
        <v>195</v>
      </c>
      <c r="F23">
        <v>43713001</v>
      </c>
      <c r="G23">
        <v>1</v>
      </c>
      <c r="H23">
        <v>2171.29</v>
      </c>
      <c r="I23">
        <v>3578.27</v>
      </c>
      <c r="J23" s="32">
        <v>42919</v>
      </c>
      <c r="K23" s="32">
        <v>42925</v>
      </c>
      <c r="L23">
        <v>6</v>
      </c>
      <c r="M23" t="s">
        <v>196</v>
      </c>
      <c r="N23" t="s">
        <v>197</v>
      </c>
      <c r="O23" t="s">
        <v>142</v>
      </c>
      <c r="P23" t="s">
        <v>138</v>
      </c>
      <c r="Q23" t="s">
        <v>120</v>
      </c>
      <c r="R23" t="s">
        <v>121</v>
      </c>
      <c r="S23" t="s">
        <v>122</v>
      </c>
      <c r="T23" t="s">
        <v>123</v>
      </c>
      <c r="U23" t="s">
        <v>124</v>
      </c>
    </row>
    <row r="24" spans="5:21" x14ac:dyDescent="0.35">
      <c r="E24" t="s">
        <v>198</v>
      </c>
      <c r="F24">
        <v>43714001</v>
      </c>
      <c r="G24">
        <v>1</v>
      </c>
      <c r="H24">
        <v>2171.29</v>
      </c>
      <c r="I24">
        <v>3578.27</v>
      </c>
      <c r="J24" s="32">
        <v>42919</v>
      </c>
      <c r="K24" s="32">
        <v>42921</v>
      </c>
      <c r="L24">
        <v>2</v>
      </c>
      <c r="M24" t="s">
        <v>199</v>
      </c>
      <c r="N24" t="s">
        <v>200</v>
      </c>
      <c r="O24" t="s">
        <v>176</v>
      </c>
      <c r="P24" t="s">
        <v>177</v>
      </c>
      <c r="Q24" t="s">
        <v>120</v>
      </c>
      <c r="R24" t="s">
        <v>121</v>
      </c>
      <c r="S24" t="s">
        <v>153</v>
      </c>
      <c r="T24" t="s">
        <v>123</v>
      </c>
      <c r="U24" t="s">
        <v>124</v>
      </c>
    </row>
    <row r="25" spans="5:21" x14ac:dyDescent="0.35">
      <c r="E25" t="s">
        <v>201</v>
      </c>
      <c r="F25">
        <v>43715001</v>
      </c>
      <c r="G25">
        <v>1</v>
      </c>
      <c r="H25">
        <v>2171.29</v>
      </c>
      <c r="I25">
        <v>3578.27</v>
      </c>
      <c r="J25" s="32">
        <v>42919</v>
      </c>
      <c r="K25" s="32">
        <v>42927</v>
      </c>
      <c r="L25">
        <v>8</v>
      </c>
      <c r="M25" t="s">
        <v>202</v>
      </c>
      <c r="N25" t="s">
        <v>203</v>
      </c>
      <c r="O25" t="s">
        <v>204</v>
      </c>
      <c r="P25" t="s">
        <v>150</v>
      </c>
      <c r="Q25" t="s">
        <v>120</v>
      </c>
      <c r="R25" t="s">
        <v>121</v>
      </c>
      <c r="S25" t="s">
        <v>186</v>
      </c>
      <c r="T25" t="s">
        <v>123</v>
      </c>
      <c r="U25" t="s">
        <v>124</v>
      </c>
    </row>
    <row r="26" spans="5:21" x14ac:dyDescent="0.35">
      <c r="E26" t="s">
        <v>205</v>
      </c>
      <c r="F26">
        <v>43716001</v>
      </c>
      <c r="G26">
        <v>1</v>
      </c>
      <c r="H26">
        <v>2171.29</v>
      </c>
      <c r="I26">
        <v>3578.27</v>
      </c>
      <c r="J26" s="32">
        <v>42919</v>
      </c>
      <c r="K26" s="32">
        <v>42925</v>
      </c>
      <c r="L26">
        <v>6</v>
      </c>
      <c r="M26" t="s">
        <v>206</v>
      </c>
      <c r="N26" t="s">
        <v>207</v>
      </c>
      <c r="O26" t="s">
        <v>149</v>
      </c>
      <c r="P26" t="s">
        <v>150</v>
      </c>
      <c r="Q26" t="s">
        <v>120</v>
      </c>
      <c r="R26" t="s">
        <v>121</v>
      </c>
      <c r="S26" t="s">
        <v>153</v>
      </c>
      <c r="T26" t="s">
        <v>123</v>
      </c>
      <c r="U26" t="s">
        <v>124</v>
      </c>
    </row>
    <row r="27" spans="5:21" x14ac:dyDescent="0.35">
      <c r="E27" t="s">
        <v>208</v>
      </c>
      <c r="F27">
        <v>43717001</v>
      </c>
      <c r="G27">
        <v>1</v>
      </c>
      <c r="H27">
        <v>413.15</v>
      </c>
      <c r="I27">
        <v>699.1</v>
      </c>
      <c r="J27" s="32">
        <v>42919</v>
      </c>
      <c r="K27" s="32">
        <v>42924</v>
      </c>
      <c r="L27">
        <v>5</v>
      </c>
      <c r="M27" t="s">
        <v>209</v>
      </c>
      <c r="N27" t="s">
        <v>207</v>
      </c>
      <c r="O27" t="s">
        <v>149</v>
      </c>
      <c r="P27" t="s">
        <v>150</v>
      </c>
      <c r="Q27" t="s">
        <v>120</v>
      </c>
      <c r="R27" t="s">
        <v>121</v>
      </c>
      <c r="S27" t="s">
        <v>143</v>
      </c>
      <c r="T27" t="s">
        <v>144</v>
      </c>
      <c r="U27" t="s">
        <v>145</v>
      </c>
    </row>
    <row r="28" spans="5:21" x14ac:dyDescent="0.35">
      <c r="E28" t="s">
        <v>210</v>
      </c>
      <c r="F28">
        <v>43718001</v>
      </c>
      <c r="G28">
        <v>1</v>
      </c>
      <c r="H28">
        <v>2171.29</v>
      </c>
      <c r="I28">
        <v>3578.27</v>
      </c>
      <c r="J28" s="32">
        <v>42919</v>
      </c>
      <c r="K28" s="32">
        <v>42921</v>
      </c>
      <c r="L28">
        <v>2</v>
      </c>
      <c r="M28" t="s">
        <v>211</v>
      </c>
      <c r="N28" t="s">
        <v>212</v>
      </c>
      <c r="O28" t="s">
        <v>213</v>
      </c>
      <c r="P28" t="s">
        <v>138</v>
      </c>
      <c r="Q28" t="s">
        <v>120</v>
      </c>
      <c r="R28" t="s">
        <v>121</v>
      </c>
      <c r="S28" t="s">
        <v>153</v>
      </c>
      <c r="T28" t="s">
        <v>123</v>
      </c>
      <c r="U28" t="s">
        <v>124</v>
      </c>
    </row>
    <row r="29" spans="5:21" x14ac:dyDescent="0.35">
      <c r="E29" t="s">
        <v>214</v>
      </c>
      <c r="F29">
        <v>43719001</v>
      </c>
      <c r="G29">
        <v>1</v>
      </c>
      <c r="H29">
        <v>2171.29</v>
      </c>
      <c r="I29">
        <v>3578.27</v>
      </c>
      <c r="J29" s="32">
        <v>42919</v>
      </c>
      <c r="K29" s="32">
        <v>42924</v>
      </c>
      <c r="L29">
        <v>5</v>
      </c>
      <c r="M29" t="s">
        <v>215</v>
      </c>
      <c r="N29" t="s">
        <v>216</v>
      </c>
      <c r="O29" t="s">
        <v>142</v>
      </c>
      <c r="P29" t="s">
        <v>138</v>
      </c>
      <c r="Q29" t="s">
        <v>120</v>
      </c>
      <c r="R29" t="s">
        <v>121</v>
      </c>
      <c r="S29" t="s">
        <v>169</v>
      </c>
      <c r="T29" t="s">
        <v>123</v>
      </c>
      <c r="U29" t="s">
        <v>124</v>
      </c>
    </row>
    <row r="30" spans="5:21" x14ac:dyDescent="0.35">
      <c r="E30" t="s">
        <v>217</v>
      </c>
      <c r="F30">
        <v>43720001</v>
      </c>
      <c r="G30">
        <v>1</v>
      </c>
      <c r="H30">
        <v>2171.29</v>
      </c>
      <c r="I30">
        <v>3578.27</v>
      </c>
      <c r="J30" s="32">
        <v>42919</v>
      </c>
      <c r="K30" s="32">
        <v>42926</v>
      </c>
      <c r="L30">
        <v>7</v>
      </c>
      <c r="M30" t="s">
        <v>218</v>
      </c>
      <c r="N30" t="s">
        <v>219</v>
      </c>
      <c r="O30" t="s">
        <v>220</v>
      </c>
      <c r="P30" t="s">
        <v>194</v>
      </c>
      <c r="Q30" t="s">
        <v>120</v>
      </c>
      <c r="R30" t="s">
        <v>121</v>
      </c>
      <c r="S30" t="s">
        <v>153</v>
      </c>
      <c r="T30" t="s">
        <v>123</v>
      </c>
      <c r="U30" t="s">
        <v>124</v>
      </c>
    </row>
    <row r="31" spans="5:21" x14ac:dyDescent="0.35">
      <c r="E31" t="s">
        <v>221</v>
      </c>
      <c r="F31">
        <v>43721001</v>
      </c>
      <c r="G31">
        <v>1</v>
      </c>
      <c r="H31">
        <v>2171.29</v>
      </c>
      <c r="I31">
        <v>3578.27</v>
      </c>
      <c r="J31" s="32">
        <v>42919</v>
      </c>
      <c r="K31" s="32">
        <v>42925</v>
      </c>
      <c r="L31">
        <v>6</v>
      </c>
      <c r="M31" t="s">
        <v>222</v>
      </c>
      <c r="N31" t="s">
        <v>200</v>
      </c>
      <c r="O31" t="s">
        <v>176</v>
      </c>
      <c r="P31" t="s">
        <v>177</v>
      </c>
      <c r="Q31" t="s">
        <v>120</v>
      </c>
      <c r="R31" t="s">
        <v>121</v>
      </c>
      <c r="S31" t="s">
        <v>122</v>
      </c>
      <c r="T31" t="s">
        <v>123</v>
      </c>
      <c r="U31" t="s">
        <v>124</v>
      </c>
    </row>
    <row r="32" spans="5:21" x14ac:dyDescent="0.35">
      <c r="E32" t="s">
        <v>223</v>
      </c>
      <c r="F32">
        <v>43722001</v>
      </c>
      <c r="G32">
        <v>1</v>
      </c>
      <c r="H32">
        <v>2171.29</v>
      </c>
      <c r="I32">
        <v>3578.27</v>
      </c>
      <c r="J32" s="32">
        <v>42920</v>
      </c>
      <c r="K32" s="32">
        <v>42929</v>
      </c>
      <c r="L32">
        <v>9</v>
      </c>
      <c r="M32" t="s">
        <v>224</v>
      </c>
      <c r="N32" t="s">
        <v>225</v>
      </c>
      <c r="O32" t="s">
        <v>176</v>
      </c>
      <c r="P32" t="s">
        <v>177</v>
      </c>
      <c r="Q32" t="s">
        <v>120</v>
      </c>
      <c r="R32" t="s">
        <v>121</v>
      </c>
      <c r="S32" t="s">
        <v>169</v>
      </c>
      <c r="T32" t="s">
        <v>123</v>
      </c>
      <c r="U32" t="s">
        <v>124</v>
      </c>
    </row>
    <row r="33" spans="5:21" x14ac:dyDescent="0.35">
      <c r="E33" t="s">
        <v>226</v>
      </c>
      <c r="F33">
        <v>43723001</v>
      </c>
      <c r="G33">
        <v>1</v>
      </c>
      <c r="H33">
        <v>413.15</v>
      </c>
      <c r="I33">
        <v>699.1</v>
      </c>
      <c r="J33" s="32">
        <v>42920</v>
      </c>
      <c r="K33" s="32">
        <v>42926</v>
      </c>
      <c r="L33">
        <v>6</v>
      </c>
      <c r="M33" t="s">
        <v>227</v>
      </c>
      <c r="N33" t="s">
        <v>228</v>
      </c>
      <c r="O33" t="s">
        <v>213</v>
      </c>
      <c r="P33" t="s">
        <v>138</v>
      </c>
      <c r="Q33" t="s">
        <v>120</v>
      </c>
      <c r="R33" t="s">
        <v>121</v>
      </c>
      <c r="S33" t="s">
        <v>229</v>
      </c>
      <c r="T33" t="s">
        <v>144</v>
      </c>
      <c r="U33" t="s">
        <v>145</v>
      </c>
    </row>
    <row r="34" spans="5:21" x14ac:dyDescent="0.35">
      <c r="E34" t="s">
        <v>230</v>
      </c>
      <c r="F34">
        <v>43724001</v>
      </c>
      <c r="G34">
        <v>1</v>
      </c>
      <c r="H34">
        <v>2171.29</v>
      </c>
      <c r="I34">
        <v>3578.27</v>
      </c>
      <c r="J34" s="32">
        <v>42920</v>
      </c>
      <c r="K34" s="32">
        <v>42928</v>
      </c>
      <c r="L34">
        <v>8</v>
      </c>
      <c r="M34" t="s">
        <v>231</v>
      </c>
      <c r="N34" t="s">
        <v>232</v>
      </c>
      <c r="O34" t="s">
        <v>204</v>
      </c>
      <c r="P34" t="s">
        <v>150</v>
      </c>
      <c r="Q34" t="s">
        <v>120</v>
      </c>
      <c r="R34" t="s">
        <v>121</v>
      </c>
      <c r="S34" t="s">
        <v>153</v>
      </c>
      <c r="T34" t="s">
        <v>123</v>
      </c>
      <c r="U34" t="s">
        <v>124</v>
      </c>
    </row>
    <row r="35" spans="5:21" x14ac:dyDescent="0.35">
      <c r="E35" t="s">
        <v>233</v>
      </c>
      <c r="F35">
        <v>43725001</v>
      </c>
      <c r="G35">
        <v>1</v>
      </c>
      <c r="H35">
        <v>2171.29</v>
      </c>
      <c r="I35">
        <v>3578.27</v>
      </c>
      <c r="J35" s="32">
        <v>42920</v>
      </c>
      <c r="K35" s="32">
        <v>42922</v>
      </c>
      <c r="L35">
        <v>2</v>
      </c>
      <c r="M35" t="s">
        <v>234</v>
      </c>
      <c r="N35" t="s">
        <v>235</v>
      </c>
      <c r="O35" t="s">
        <v>236</v>
      </c>
      <c r="P35" t="s">
        <v>194</v>
      </c>
      <c r="Q35" t="s">
        <v>120</v>
      </c>
      <c r="R35" t="s">
        <v>121</v>
      </c>
      <c r="S35" t="s">
        <v>153</v>
      </c>
      <c r="T35" t="s">
        <v>123</v>
      </c>
      <c r="U35" t="s">
        <v>124</v>
      </c>
    </row>
    <row r="36" spans="5:21" x14ac:dyDescent="0.35">
      <c r="E36" t="s">
        <v>237</v>
      </c>
      <c r="F36">
        <v>43726001</v>
      </c>
      <c r="G36">
        <v>1</v>
      </c>
      <c r="H36">
        <v>413.15</v>
      </c>
      <c r="I36">
        <v>699.1</v>
      </c>
      <c r="J36" s="32">
        <v>42920</v>
      </c>
      <c r="K36" s="32">
        <v>42928</v>
      </c>
      <c r="L36">
        <v>8</v>
      </c>
      <c r="M36" t="s">
        <v>238</v>
      </c>
      <c r="N36" t="s">
        <v>239</v>
      </c>
      <c r="O36" t="s">
        <v>142</v>
      </c>
      <c r="P36" t="s">
        <v>138</v>
      </c>
      <c r="Q36" t="s">
        <v>120</v>
      </c>
      <c r="R36" t="s">
        <v>121</v>
      </c>
      <c r="S36" t="s">
        <v>229</v>
      </c>
      <c r="T36" t="s">
        <v>144</v>
      </c>
      <c r="U36" t="s">
        <v>145</v>
      </c>
    </row>
    <row r="37" spans="5:21" x14ac:dyDescent="0.35">
      <c r="E37" t="s">
        <v>240</v>
      </c>
      <c r="F37">
        <v>43727001</v>
      </c>
      <c r="G37">
        <v>1</v>
      </c>
      <c r="H37">
        <v>2171.29</v>
      </c>
      <c r="I37">
        <v>3578.27</v>
      </c>
      <c r="J37" s="32">
        <v>42920</v>
      </c>
      <c r="K37" s="32">
        <v>42929</v>
      </c>
      <c r="L37">
        <v>9</v>
      </c>
      <c r="M37" t="s">
        <v>241</v>
      </c>
      <c r="N37" t="s">
        <v>242</v>
      </c>
      <c r="O37" t="s">
        <v>161</v>
      </c>
      <c r="P37" t="s">
        <v>150</v>
      </c>
      <c r="Q37" t="s">
        <v>120</v>
      </c>
      <c r="R37" t="s">
        <v>121</v>
      </c>
      <c r="S37" t="s">
        <v>153</v>
      </c>
      <c r="T37" t="s">
        <v>123</v>
      </c>
      <c r="U37" t="s">
        <v>124</v>
      </c>
    </row>
    <row r="38" spans="5:21" x14ac:dyDescent="0.35">
      <c r="E38" t="s">
        <v>243</v>
      </c>
      <c r="F38">
        <v>43728001</v>
      </c>
      <c r="G38">
        <v>1</v>
      </c>
      <c r="H38">
        <v>2171.29</v>
      </c>
      <c r="I38">
        <v>3578.27</v>
      </c>
      <c r="J38" s="32">
        <v>42921</v>
      </c>
      <c r="K38" s="32">
        <v>42925</v>
      </c>
      <c r="L38">
        <v>4</v>
      </c>
      <c r="M38" t="s">
        <v>244</v>
      </c>
      <c r="N38" t="s">
        <v>245</v>
      </c>
      <c r="O38" t="s">
        <v>142</v>
      </c>
      <c r="P38" t="s">
        <v>138</v>
      </c>
      <c r="Q38" t="s">
        <v>120</v>
      </c>
      <c r="R38" t="s">
        <v>121</v>
      </c>
      <c r="S38" t="s">
        <v>182</v>
      </c>
      <c r="T38" t="s">
        <v>123</v>
      </c>
      <c r="U38" t="s">
        <v>124</v>
      </c>
    </row>
    <row r="39" spans="5:21" x14ac:dyDescent="0.35">
      <c r="E39" t="s">
        <v>246</v>
      </c>
      <c r="F39">
        <v>43729001</v>
      </c>
      <c r="G39">
        <v>1</v>
      </c>
      <c r="H39">
        <v>1912.15</v>
      </c>
      <c r="I39">
        <v>3399.99</v>
      </c>
      <c r="J39" s="32">
        <v>42921</v>
      </c>
      <c r="K39" s="32">
        <v>42923</v>
      </c>
      <c r="L39">
        <v>2</v>
      </c>
      <c r="M39" t="s">
        <v>247</v>
      </c>
      <c r="N39" t="s">
        <v>248</v>
      </c>
      <c r="O39" t="s">
        <v>176</v>
      </c>
      <c r="P39" t="s">
        <v>177</v>
      </c>
      <c r="Q39" t="s">
        <v>120</v>
      </c>
      <c r="R39" t="s">
        <v>130</v>
      </c>
      <c r="S39" t="s">
        <v>131</v>
      </c>
      <c r="T39" t="s">
        <v>132</v>
      </c>
      <c r="U39" t="s">
        <v>133</v>
      </c>
    </row>
    <row r="40" spans="5:21" x14ac:dyDescent="0.35">
      <c r="E40" t="s">
        <v>249</v>
      </c>
      <c r="F40">
        <v>43730001</v>
      </c>
      <c r="G40">
        <v>1</v>
      </c>
      <c r="H40">
        <v>1912.15</v>
      </c>
      <c r="I40">
        <v>3399.99</v>
      </c>
      <c r="J40" s="32">
        <v>42921</v>
      </c>
      <c r="K40" s="32">
        <v>42931</v>
      </c>
      <c r="L40">
        <v>10</v>
      </c>
      <c r="M40" t="s">
        <v>250</v>
      </c>
      <c r="N40" t="s">
        <v>251</v>
      </c>
      <c r="O40" t="s">
        <v>142</v>
      </c>
      <c r="P40" t="s">
        <v>138</v>
      </c>
      <c r="Q40" t="s">
        <v>120</v>
      </c>
      <c r="R40" t="s">
        <v>130</v>
      </c>
      <c r="S40" t="s">
        <v>131</v>
      </c>
      <c r="T40" t="s">
        <v>132</v>
      </c>
      <c r="U40" t="s">
        <v>133</v>
      </c>
    </row>
    <row r="41" spans="5:21" x14ac:dyDescent="0.35">
      <c r="E41" t="s">
        <v>252</v>
      </c>
      <c r="F41">
        <v>43731001</v>
      </c>
      <c r="G41">
        <v>1</v>
      </c>
      <c r="H41">
        <v>2171.29</v>
      </c>
      <c r="I41">
        <v>3578.27</v>
      </c>
      <c r="J41" s="32">
        <v>42921</v>
      </c>
      <c r="K41" s="32">
        <v>42929</v>
      </c>
      <c r="L41">
        <v>8</v>
      </c>
      <c r="M41" t="s">
        <v>253</v>
      </c>
      <c r="N41" t="s">
        <v>254</v>
      </c>
      <c r="O41" t="s">
        <v>149</v>
      </c>
      <c r="P41" t="s">
        <v>150</v>
      </c>
      <c r="Q41" t="s">
        <v>120</v>
      </c>
      <c r="R41" t="s">
        <v>121</v>
      </c>
      <c r="S41" t="s">
        <v>186</v>
      </c>
      <c r="T41" t="s">
        <v>123</v>
      </c>
      <c r="U41" t="s">
        <v>124</v>
      </c>
    </row>
    <row r="42" spans="5:21" x14ac:dyDescent="0.35">
      <c r="E42" t="s">
        <v>255</v>
      </c>
      <c r="F42">
        <v>43732001</v>
      </c>
      <c r="G42">
        <v>1</v>
      </c>
      <c r="H42">
        <v>1898.09</v>
      </c>
      <c r="I42">
        <v>3374.99</v>
      </c>
      <c r="J42" s="32">
        <v>42921</v>
      </c>
      <c r="K42" s="32">
        <v>42923</v>
      </c>
      <c r="L42">
        <v>2</v>
      </c>
      <c r="M42" t="s">
        <v>256</v>
      </c>
      <c r="N42" t="s">
        <v>257</v>
      </c>
      <c r="O42" t="s">
        <v>161</v>
      </c>
      <c r="P42" t="s">
        <v>150</v>
      </c>
      <c r="Q42" t="s">
        <v>120</v>
      </c>
      <c r="R42" t="s">
        <v>130</v>
      </c>
      <c r="S42" t="s">
        <v>258</v>
      </c>
      <c r="T42" t="s">
        <v>144</v>
      </c>
      <c r="U42" t="s">
        <v>133</v>
      </c>
    </row>
    <row r="43" spans="5:21" x14ac:dyDescent="0.35">
      <c r="E43" t="s">
        <v>259</v>
      </c>
      <c r="F43">
        <v>43733001</v>
      </c>
      <c r="G43">
        <v>1</v>
      </c>
      <c r="H43">
        <v>2171.29</v>
      </c>
      <c r="I43">
        <v>3578.27</v>
      </c>
      <c r="J43" s="32">
        <v>42921</v>
      </c>
      <c r="K43" s="32">
        <v>42931</v>
      </c>
      <c r="L43">
        <v>10</v>
      </c>
      <c r="M43" t="s">
        <v>260</v>
      </c>
      <c r="N43" t="s">
        <v>261</v>
      </c>
      <c r="O43" t="s">
        <v>213</v>
      </c>
      <c r="P43" t="s">
        <v>138</v>
      </c>
      <c r="Q43" t="s">
        <v>120</v>
      </c>
      <c r="R43" t="s">
        <v>121</v>
      </c>
      <c r="S43" t="s">
        <v>169</v>
      </c>
      <c r="T43" t="s">
        <v>123</v>
      </c>
      <c r="U43" t="s">
        <v>124</v>
      </c>
    </row>
    <row r="44" spans="5:21" x14ac:dyDescent="0.35">
      <c r="E44" t="s">
        <v>262</v>
      </c>
      <c r="F44">
        <v>43734001</v>
      </c>
      <c r="G44">
        <v>1</v>
      </c>
      <c r="H44">
        <v>2171.29</v>
      </c>
      <c r="I44">
        <v>3578.27</v>
      </c>
      <c r="J44" s="32">
        <v>42921</v>
      </c>
      <c r="K44" s="32">
        <v>42925</v>
      </c>
      <c r="L44">
        <v>4</v>
      </c>
      <c r="M44" t="s">
        <v>263</v>
      </c>
      <c r="N44" t="s">
        <v>261</v>
      </c>
      <c r="O44" t="s">
        <v>213</v>
      </c>
      <c r="P44" t="s">
        <v>138</v>
      </c>
      <c r="Q44" t="s">
        <v>120</v>
      </c>
      <c r="R44" t="s">
        <v>121</v>
      </c>
      <c r="S44" t="s">
        <v>169</v>
      </c>
      <c r="T44" t="s">
        <v>123</v>
      </c>
      <c r="U44" t="s">
        <v>124</v>
      </c>
    </row>
    <row r="45" spans="5:21" x14ac:dyDescent="0.35">
      <c r="E45" t="s">
        <v>264</v>
      </c>
      <c r="F45">
        <v>43735001</v>
      </c>
      <c r="G45">
        <v>1</v>
      </c>
      <c r="H45">
        <v>2171.29</v>
      </c>
      <c r="I45">
        <v>3578.27</v>
      </c>
      <c r="J45" s="32">
        <v>42921</v>
      </c>
      <c r="K45" s="32">
        <v>42926</v>
      </c>
      <c r="L45">
        <v>5</v>
      </c>
      <c r="M45" t="s">
        <v>265</v>
      </c>
      <c r="N45" t="s">
        <v>266</v>
      </c>
      <c r="O45" t="s">
        <v>161</v>
      </c>
      <c r="P45" t="s">
        <v>150</v>
      </c>
      <c r="Q45" t="s">
        <v>120</v>
      </c>
      <c r="R45" t="s">
        <v>121</v>
      </c>
      <c r="S45" t="s">
        <v>122</v>
      </c>
      <c r="T45" t="s">
        <v>123</v>
      </c>
      <c r="U45" t="s">
        <v>124</v>
      </c>
    </row>
    <row r="46" spans="5:21" x14ac:dyDescent="0.35">
      <c r="E46" t="s">
        <v>267</v>
      </c>
      <c r="F46">
        <v>43736001</v>
      </c>
      <c r="G46">
        <v>1</v>
      </c>
      <c r="H46">
        <v>1912.15</v>
      </c>
      <c r="I46">
        <v>3399.99</v>
      </c>
      <c r="J46" s="32">
        <v>42921</v>
      </c>
      <c r="K46" s="32">
        <v>42923</v>
      </c>
      <c r="L46">
        <v>2</v>
      </c>
      <c r="M46" t="s">
        <v>268</v>
      </c>
      <c r="N46" t="s">
        <v>269</v>
      </c>
      <c r="O46" t="s">
        <v>270</v>
      </c>
      <c r="P46" t="s">
        <v>150</v>
      </c>
      <c r="Q46" t="s">
        <v>120</v>
      </c>
      <c r="R46" t="s">
        <v>130</v>
      </c>
      <c r="S46" t="s">
        <v>131</v>
      </c>
      <c r="T46" t="s">
        <v>132</v>
      </c>
      <c r="U46" t="s">
        <v>133</v>
      </c>
    </row>
    <row r="47" spans="5:21" x14ac:dyDescent="0.35">
      <c r="E47" t="s">
        <v>271</v>
      </c>
      <c r="F47">
        <v>43737001</v>
      </c>
      <c r="G47">
        <v>1</v>
      </c>
      <c r="H47">
        <v>2171.29</v>
      </c>
      <c r="I47">
        <v>3578.27</v>
      </c>
      <c r="J47" s="32">
        <v>42922</v>
      </c>
      <c r="K47" s="32">
        <v>42929</v>
      </c>
      <c r="L47">
        <v>7</v>
      </c>
      <c r="M47" t="s">
        <v>272</v>
      </c>
      <c r="N47" t="s">
        <v>273</v>
      </c>
      <c r="O47" t="s">
        <v>193</v>
      </c>
      <c r="P47" t="s">
        <v>194</v>
      </c>
      <c r="Q47" t="s">
        <v>120</v>
      </c>
      <c r="R47" t="s">
        <v>121</v>
      </c>
      <c r="S47" t="s">
        <v>153</v>
      </c>
      <c r="T47" t="s">
        <v>123</v>
      </c>
      <c r="U47" t="s">
        <v>124</v>
      </c>
    </row>
    <row r="48" spans="5:21" x14ac:dyDescent="0.35">
      <c r="E48" t="s">
        <v>274</v>
      </c>
      <c r="F48">
        <v>43738001</v>
      </c>
      <c r="G48">
        <v>1</v>
      </c>
      <c r="H48">
        <v>2171.29</v>
      </c>
      <c r="I48">
        <v>3578.27</v>
      </c>
      <c r="J48" s="32">
        <v>42922</v>
      </c>
      <c r="K48" s="32">
        <v>42930</v>
      </c>
      <c r="L48">
        <v>8</v>
      </c>
      <c r="M48" t="s">
        <v>275</v>
      </c>
      <c r="N48" t="s">
        <v>276</v>
      </c>
      <c r="O48" t="s">
        <v>277</v>
      </c>
      <c r="P48" t="s">
        <v>129</v>
      </c>
      <c r="Q48" t="s">
        <v>120</v>
      </c>
      <c r="R48" t="s">
        <v>121</v>
      </c>
      <c r="S48" t="s">
        <v>169</v>
      </c>
      <c r="T48" t="s">
        <v>123</v>
      </c>
      <c r="U48" t="s">
        <v>124</v>
      </c>
    </row>
    <row r="49" spans="5:21" x14ac:dyDescent="0.35">
      <c r="E49" t="s">
        <v>278</v>
      </c>
      <c r="F49">
        <v>43739001</v>
      </c>
      <c r="G49">
        <v>1</v>
      </c>
      <c r="H49">
        <v>2171.29</v>
      </c>
      <c r="I49">
        <v>3578.27</v>
      </c>
      <c r="J49" s="32">
        <v>42922</v>
      </c>
      <c r="K49" s="32">
        <v>42929</v>
      </c>
      <c r="L49">
        <v>7</v>
      </c>
      <c r="M49" t="s">
        <v>279</v>
      </c>
      <c r="N49" t="s">
        <v>280</v>
      </c>
      <c r="O49" t="s">
        <v>176</v>
      </c>
      <c r="P49" t="s">
        <v>177</v>
      </c>
      <c r="Q49" t="s">
        <v>120</v>
      </c>
      <c r="R49" t="s">
        <v>121</v>
      </c>
      <c r="S49" t="s">
        <v>122</v>
      </c>
      <c r="T49" t="s">
        <v>123</v>
      </c>
      <c r="U49" t="s">
        <v>124</v>
      </c>
    </row>
    <row r="50" spans="5:21" x14ac:dyDescent="0.35">
      <c r="E50" t="s">
        <v>281</v>
      </c>
      <c r="F50">
        <v>43740001</v>
      </c>
      <c r="G50">
        <v>1</v>
      </c>
      <c r="H50">
        <v>2171.29</v>
      </c>
      <c r="I50">
        <v>3578.27</v>
      </c>
      <c r="J50" s="32">
        <v>42922</v>
      </c>
      <c r="K50" s="32">
        <v>42925</v>
      </c>
      <c r="L50">
        <v>3</v>
      </c>
      <c r="M50" t="s">
        <v>282</v>
      </c>
      <c r="N50" t="s">
        <v>283</v>
      </c>
      <c r="O50" t="s">
        <v>149</v>
      </c>
      <c r="P50" t="s">
        <v>150</v>
      </c>
      <c r="Q50" t="s">
        <v>120</v>
      </c>
      <c r="R50" t="s">
        <v>121</v>
      </c>
      <c r="S50" t="s">
        <v>169</v>
      </c>
      <c r="T50" t="s">
        <v>123</v>
      </c>
      <c r="U50" t="s">
        <v>124</v>
      </c>
    </row>
    <row r="51" spans="5:21" x14ac:dyDescent="0.35">
      <c r="E51" t="s">
        <v>284</v>
      </c>
      <c r="F51">
        <v>43741001</v>
      </c>
      <c r="G51">
        <v>1</v>
      </c>
      <c r="H51">
        <v>2171.29</v>
      </c>
      <c r="I51">
        <v>3578.27</v>
      </c>
      <c r="J51" s="32">
        <v>42922</v>
      </c>
      <c r="K51" s="32">
        <v>42928</v>
      </c>
      <c r="L51">
        <v>6</v>
      </c>
      <c r="M51" t="s">
        <v>285</v>
      </c>
      <c r="N51" t="s">
        <v>286</v>
      </c>
      <c r="O51" t="s">
        <v>213</v>
      </c>
      <c r="P51" t="s">
        <v>138</v>
      </c>
      <c r="Q51" t="s">
        <v>120</v>
      </c>
      <c r="R51" t="s">
        <v>121</v>
      </c>
      <c r="S51" t="s">
        <v>122</v>
      </c>
      <c r="T51" t="s">
        <v>123</v>
      </c>
      <c r="U51" t="s">
        <v>124</v>
      </c>
    </row>
    <row r="52" spans="5:21" x14ac:dyDescent="0.35">
      <c r="E52" t="s">
        <v>287</v>
      </c>
      <c r="F52">
        <v>43742001</v>
      </c>
      <c r="G52">
        <v>1</v>
      </c>
      <c r="H52">
        <v>2171.29</v>
      </c>
      <c r="I52">
        <v>3578.27</v>
      </c>
      <c r="J52" s="32">
        <v>42922</v>
      </c>
      <c r="K52" s="32">
        <v>42927</v>
      </c>
      <c r="L52">
        <v>5</v>
      </c>
      <c r="M52" t="s">
        <v>288</v>
      </c>
      <c r="N52" t="s">
        <v>289</v>
      </c>
      <c r="O52" t="s">
        <v>176</v>
      </c>
      <c r="P52" t="s">
        <v>177</v>
      </c>
      <c r="Q52" t="s">
        <v>120</v>
      </c>
      <c r="R52" t="s">
        <v>121</v>
      </c>
      <c r="S52" t="s">
        <v>186</v>
      </c>
      <c r="T52" t="s">
        <v>123</v>
      </c>
      <c r="U52" t="s">
        <v>124</v>
      </c>
    </row>
    <row r="53" spans="5:21" x14ac:dyDescent="0.35">
      <c r="E53" t="s">
        <v>290</v>
      </c>
      <c r="F53">
        <v>43743001</v>
      </c>
      <c r="G53">
        <v>1</v>
      </c>
      <c r="H53">
        <v>1912.15</v>
      </c>
      <c r="I53">
        <v>3399.99</v>
      </c>
      <c r="J53" s="32">
        <v>42922</v>
      </c>
      <c r="K53" s="32">
        <v>42932</v>
      </c>
      <c r="L53">
        <v>10</v>
      </c>
      <c r="M53" t="s">
        <v>291</v>
      </c>
      <c r="N53" t="s">
        <v>292</v>
      </c>
      <c r="O53" t="s">
        <v>204</v>
      </c>
      <c r="P53" t="s">
        <v>150</v>
      </c>
      <c r="Q53" t="s">
        <v>120</v>
      </c>
      <c r="R53" t="s">
        <v>130</v>
      </c>
      <c r="S53" t="s">
        <v>293</v>
      </c>
      <c r="T53" t="s">
        <v>132</v>
      </c>
      <c r="U53" t="s">
        <v>133</v>
      </c>
    </row>
    <row r="54" spans="5:21" x14ac:dyDescent="0.35">
      <c r="E54" t="s">
        <v>294</v>
      </c>
      <c r="F54">
        <v>43744001</v>
      </c>
      <c r="G54">
        <v>1</v>
      </c>
      <c r="H54">
        <v>2171.29</v>
      </c>
      <c r="I54">
        <v>3578.27</v>
      </c>
      <c r="J54" s="32">
        <v>42922</v>
      </c>
      <c r="K54" s="32">
        <v>42927</v>
      </c>
      <c r="L54">
        <v>5</v>
      </c>
      <c r="M54" t="s">
        <v>295</v>
      </c>
      <c r="N54" t="s">
        <v>181</v>
      </c>
      <c r="O54" t="s">
        <v>161</v>
      </c>
      <c r="P54" t="s">
        <v>150</v>
      </c>
      <c r="Q54" t="s">
        <v>120</v>
      </c>
      <c r="R54" t="s">
        <v>121</v>
      </c>
      <c r="S54" t="s">
        <v>182</v>
      </c>
      <c r="T54" t="s">
        <v>123</v>
      </c>
      <c r="U54" t="s">
        <v>124</v>
      </c>
    </row>
    <row r="55" spans="5:21" x14ac:dyDescent="0.35">
      <c r="E55" t="s">
        <v>296</v>
      </c>
      <c r="F55">
        <v>43745001</v>
      </c>
      <c r="G55">
        <v>1</v>
      </c>
      <c r="H55">
        <v>2171.29</v>
      </c>
      <c r="I55">
        <v>3578.27</v>
      </c>
      <c r="J55" s="32">
        <v>42923</v>
      </c>
      <c r="K55" s="32">
        <v>42927</v>
      </c>
      <c r="L55">
        <v>4</v>
      </c>
      <c r="M55" t="s">
        <v>297</v>
      </c>
      <c r="N55" t="s">
        <v>298</v>
      </c>
      <c r="O55" t="s">
        <v>149</v>
      </c>
      <c r="P55" t="s">
        <v>150</v>
      </c>
      <c r="Q55" t="s">
        <v>120</v>
      </c>
      <c r="R55" t="s">
        <v>121</v>
      </c>
      <c r="S55" t="s">
        <v>153</v>
      </c>
      <c r="T55" t="s">
        <v>123</v>
      </c>
      <c r="U55" t="s">
        <v>124</v>
      </c>
    </row>
    <row r="56" spans="5:21" x14ac:dyDescent="0.35">
      <c r="E56" t="s">
        <v>299</v>
      </c>
      <c r="F56">
        <v>43746001</v>
      </c>
      <c r="G56">
        <v>1</v>
      </c>
      <c r="H56">
        <v>2171.29</v>
      </c>
      <c r="I56">
        <v>3578.27</v>
      </c>
      <c r="J56" s="32">
        <v>42923</v>
      </c>
      <c r="K56" s="32">
        <v>42931</v>
      </c>
      <c r="L56">
        <v>8</v>
      </c>
      <c r="M56" t="s">
        <v>300</v>
      </c>
      <c r="N56" t="s">
        <v>156</v>
      </c>
      <c r="O56" t="s">
        <v>157</v>
      </c>
      <c r="P56" t="s">
        <v>150</v>
      </c>
      <c r="Q56" t="s">
        <v>120</v>
      </c>
      <c r="R56" t="s">
        <v>121</v>
      </c>
      <c r="S56" t="s">
        <v>169</v>
      </c>
      <c r="T56" t="s">
        <v>123</v>
      </c>
      <c r="U56" t="s">
        <v>124</v>
      </c>
    </row>
    <row r="57" spans="5:21" x14ac:dyDescent="0.35">
      <c r="E57" t="s">
        <v>301</v>
      </c>
      <c r="F57">
        <v>43747001</v>
      </c>
      <c r="G57">
        <v>1</v>
      </c>
      <c r="H57">
        <v>2171.29</v>
      </c>
      <c r="I57">
        <v>3578.27</v>
      </c>
      <c r="J57" s="32">
        <v>42923</v>
      </c>
      <c r="K57" s="32">
        <v>42925</v>
      </c>
      <c r="L57">
        <v>2</v>
      </c>
      <c r="M57" t="s">
        <v>302</v>
      </c>
      <c r="N57" t="s">
        <v>303</v>
      </c>
      <c r="O57" t="s">
        <v>142</v>
      </c>
      <c r="P57" t="s">
        <v>138</v>
      </c>
      <c r="Q57" t="s">
        <v>120</v>
      </c>
      <c r="R57" t="s">
        <v>121</v>
      </c>
      <c r="S57" t="s">
        <v>186</v>
      </c>
      <c r="T57" t="s">
        <v>123</v>
      </c>
      <c r="U57" t="s">
        <v>124</v>
      </c>
    </row>
    <row r="58" spans="5:21" x14ac:dyDescent="0.35">
      <c r="E58" t="s">
        <v>304</v>
      </c>
      <c r="F58">
        <v>43748001</v>
      </c>
      <c r="G58">
        <v>1</v>
      </c>
      <c r="H58">
        <v>2171.29</v>
      </c>
      <c r="I58">
        <v>3578.27</v>
      </c>
      <c r="J58" s="32">
        <v>42923</v>
      </c>
      <c r="K58" s="32">
        <v>42930</v>
      </c>
      <c r="L58">
        <v>7</v>
      </c>
      <c r="M58" t="s">
        <v>305</v>
      </c>
      <c r="N58" t="s">
        <v>306</v>
      </c>
      <c r="O58" t="s">
        <v>137</v>
      </c>
      <c r="P58" t="s">
        <v>138</v>
      </c>
      <c r="Q58" t="s">
        <v>120</v>
      </c>
      <c r="R58" t="s">
        <v>121</v>
      </c>
      <c r="S58" t="s">
        <v>182</v>
      </c>
      <c r="T58" t="s">
        <v>123</v>
      </c>
      <c r="U58" t="s">
        <v>124</v>
      </c>
    </row>
    <row r="59" spans="5:21" x14ac:dyDescent="0.35">
      <c r="E59" t="s">
        <v>307</v>
      </c>
      <c r="F59">
        <v>43749001</v>
      </c>
      <c r="G59">
        <v>1</v>
      </c>
      <c r="H59">
        <v>2171.29</v>
      </c>
      <c r="I59">
        <v>3578.27</v>
      </c>
      <c r="J59" s="32">
        <v>42923</v>
      </c>
      <c r="K59" s="32">
        <v>42927</v>
      </c>
      <c r="L59">
        <v>4</v>
      </c>
      <c r="M59" t="s">
        <v>308</v>
      </c>
      <c r="N59" t="s">
        <v>309</v>
      </c>
      <c r="O59" t="s">
        <v>213</v>
      </c>
      <c r="P59" t="s">
        <v>138</v>
      </c>
      <c r="Q59" t="s">
        <v>120</v>
      </c>
      <c r="R59" t="s">
        <v>121</v>
      </c>
      <c r="S59" t="s">
        <v>186</v>
      </c>
      <c r="T59" t="s">
        <v>123</v>
      </c>
      <c r="U59" t="s">
        <v>124</v>
      </c>
    </row>
    <row r="60" spans="5:21" x14ac:dyDescent="0.35">
      <c r="E60" t="s">
        <v>310</v>
      </c>
      <c r="F60">
        <v>43750001</v>
      </c>
      <c r="G60">
        <v>1</v>
      </c>
      <c r="H60">
        <v>2171.29</v>
      </c>
      <c r="I60">
        <v>3578.27</v>
      </c>
      <c r="J60" s="32">
        <v>42923</v>
      </c>
      <c r="K60" s="32">
        <v>42931</v>
      </c>
      <c r="L60">
        <v>8</v>
      </c>
      <c r="M60" t="s">
        <v>311</v>
      </c>
      <c r="N60" t="s">
        <v>312</v>
      </c>
      <c r="O60" t="s">
        <v>313</v>
      </c>
      <c r="P60" t="s">
        <v>129</v>
      </c>
      <c r="Q60" t="s">
        <v>120</v>
      </c>
      <c r="R60" t="s">
        <v>121</v>
      </c>
      <c r="S60" t="s">
        <v>153</v>
      </c>
      <c r="T60" t="s">
        <v>123</v>
      </c>
      <c r="U60" t="s">
        <v>124</v>
      </c>
    </row>
    <row r="61" spans="5:21" x14ac:dyDescent="0.35">
      <c r="E61" t="s">
        <v>314</v>
      </c>
      <c r="F61">
        <v>43751001</v>
      </c>
      <c r="G61">
        <v>1</v>
      </c>
      <c r="H61">
        <v>2171.29</v>
      </c>
      <c r="I61">
        <v>3578.27</v>
      </c>
      <c r="J61" s="32">
        <v>42923</v>
      </c>
      <c r="K61" s="32">
        <v>42928</v>
      </c>
      <c r="L61">
        <v>5</v>
      </c>
      <c r="M61" t="s">
        <v>315</v>
      </c>
      <c r="N61" t="s">
        <v>316</v>
      </c>
      <c r="O61" t="s">
        <v>317</v>
      </c>
      <c r="P61" t="s">
        <v>129</v>
      </c>
      <c r="Q61" t="s">
        <v>120</v>
      </c>
      <c r="R61" t="s">
        <v>121</v>
      </c>
      <c r="S61" t="s">
        <v>182</v>
      </c>
      <c r="T61" t="s">
        <v>123</v>
      </c>
      <c r="U61" t="s">
        <v>124</v>
      </c>
    </row>
    <row r="62" spans="5:21" x14ac:dyDescent="0.35">
      <c r="E62" t="s">
        <v>318</v>
      </c>
      <c r="F62">
        <v>43752001</v>
      </c>
      <c r="G62">
        <v>1</v>
      </c>
      <c r="H62">
        <v>2171.29</v>
      </c>
      <c r="I62">
        <v>3578.27</v>
      </c>
      <c r="J62" s="32">
        <v>42923</v>
      </c>
      <c r="K62" s="32">
        <v>42925</v>
      </c>
      <c r="L62">
        <v>2</v>
      </c>
      <c r="M62" t="s">
        <v>319</v>
      </c>
      <c r="N62" t="s">
        <v>273</v>
      </c>
      <c r="O62" t="s">
        <v>193</v>
      </c>
      <c r="P62" t="s">
        <v>194</v>
      </c>
      <c r="Q62" t="s">
        <v>120</v>
      </c>
      <c r="R62" t="s">
        <v>121</v>
      </c>
      <c r="S62" t="s">
        <v>153</v>
      </c>
      <c r="T62" t="s">
        <v>123</v>
      </c>
      <c r="U62" t="s">
        <v>124</v>
      </c>
    </row>
    <row r="63" spans="5:21" x14ac:dyDescent="0.35">
      <c r="E63" t="s">
        <v>320</v>
      </c>
      <c r="F63">
        <v>43753001</v>
      </c>
      <c r="G63">
        <v>1</v>
      </c>
      <c r="H63">
        <v>2171.29</v>
      </c>
      <c r="I63">
        <v>3578.27</v>
      </c>
      <c r="J63" s="32">
        <v>42923</v>
      </c>
      <c r="K63" s="32">
        <v>42925</v>
      </c>
      <c r="L63">
        <v>2</v>
      </c>
      <c r="M63" t="s">
        <v>321</v>
      </c>
      <c r="N63" t="s">
        <v>232</v>
      </c>
      <c r="O63" t="s">
        <v>204</v>
      </c>
      <c r="P63" t="s">
        <v>150</v>
      </c>
      <c r="Q63" t="s">
        <v>120</v>
      </c>
      <c r="R63" t="s">
        <v>121</v>
      </c>
      <c r="S63" t="s">
        <v>122</v>
      </c>
      <c r="T63" t="s">
        <v>123</v>
      </c>
      <c r="U63" t="s">
        <v>124</v>
      </c>
    </row>
    <row r="64" spans="5:21" x14ac:dyDescent="0.35">
      <c r="E64" t="s">
        <v>322</v>
      </c>
      <c r="F64">
        <v>43754001</v>
      </c>
      <c r="G64">
        <v>1</v>
      </c>
      <c r="H64">
        <v>2171.29</v>
      </c>
      <c r="I64">
        <v>3578.27</v>
      </c>
      <c r="J64" s="32">
        <v>42924</v>
      </c>
      <c r="K64" s="32">
        <v>42932</v>
      </c>
      <c r="L64">
        <v>8</v>
      </c>
      <c r="M64" t="s">
        <v>323</v>
      </c>
      <c r="N64" t="s">
        <v>324</v>
      </c>
      <c r="O64" t="s">
        <v>213</v>
      </c>
      <c r="P64" t="s">
        <v>138</v>
      </c>
      <c r="Q64" t="s">
        <v>120</v>
      </c>
      <c r="R64" t="s">
        <v>121</v>
      </c>
      <c r="S64" t="s">
        <v>169</v>
      </c>
      <c r="T64" t="s">
        <v>123</v>
      </c>
      <c r="U64" t="s">
        <v>124</v>
      </c>
    </row>
    <row r="65" spans="5:21" x14ac:dyDescent="0.35">
      <c r="E65" t="s">
        <v>325</v>
      </c>
      <c r="F65">
        <v>43755001</v>
      </c>
      <c r="G65">
        <v>1</v>
      </c>
      <c r="H65">
        <v>2171.29</v>
      </c>
      <c r="I65">
        <v>3578.27</v>
      </c>
      <c r="J65" s="32">
        <v>42924</v>
      </c>
      <c r="K65" s="32">
        <v>42930</v>
      </c>
      <c r="L65">
        <v>6</v>
      </c>
      <c r="M65" t="s">
        <v>326</v>
      </c>
      <c r="N65" t="s">
        <v>327</v>
      </c>
      <c r="O65" t="s">
        <v>142</v>
      </c>
      <c r="P65" t="s">
        <v>138</v>
      </c>
      <c r="Q65" t="s">
        <v>120</v>
      </c>
      <c r="R65" t="s">
        <v>121</v>
      </c>
      <c r="S65" t="s">
        <v>153</v>
      </c>
      <c r="T65" t="s">
        <v>123</v>
      </c>
      <c r="U65" t="s">
        <v>124</v>
      </c>
    </row>
    <row r="66" spans="5:21" x14ac:dyDescent="0.35">
      <c r="E66" t="s">
        <v>328</v>
      </c>
      <c r="F66">
        <v>43756001</v>
      </c>
      <c r="G66">
        <v>1</v>
      </c>
      <c r="H66">
        <v>413.15</v>
      </c>
      <c r="I66">
        <v>699.1</v>
      </c>
      <c r="J66" s="32">
        <v>42924</v>
      </c>
      <c r="K66" s="32">
        <v>42933</v>
      </c>
      <c r="L66">
        <v>9</v>
      </c>
      <c r="M66" t="s">
        <v>329</v>
      </c>
      <c r="N66" t="s">
        <v>289</v>
      </c>
      <c r="O66" t="s">
        <v>176</v>
      </c>
      <c r="P66" t="s">
        <v>177</v>
      </c>
      <c r="Q66" t="s">
        <v>120</v>
      </c>
      <c r="R66" t="s">
        <v>121</v>
      </c>
      <c r="S66" t="s">
        <v>229</v>
      </c>
      <c r="T66" t="s">
        <v>144</v>
      </c>
      <c r="U66" t="s">
        <v>145</v>
      </c>
    </row>
    <row r="67" spans="5:21" x14ac:dyDescent="0.35">
      <c r="E67" t="s">
        <v>330</v>
      </c>
      <c r="F67">
        <v>43757001</v>
      </c>
      <c r="G67">
        <v>1</v>
      </c>
      <c r="H67">
        <v>1898.09</v>
      </c>
      <c r="I67">
        <v>3374.99</v>
      </c>
      <c r="J67" s="32">
        <v>42924</v>
      </c>
      <c r="K67" s="32">
        <v>42927</v>
      </c>
      <c r="L67">
        <v>3</v>
      </c>
      <c r="M67" t="s">
        <v>331</v>
      </c>
      <c r="N67" t="s">
        <v>332</v>
      </c>
      <c r="O67" t="s">
        <v>204</v>
      </c>
      <c r="P67" t="s">
        <v>150</v>
      </c>
      <c r="Q67" t="s">
        <v>120</v>
      </c>
      <c r="R67" t="s">
        <v>130</v>
      </c>
      <c r="S67" t="s">
        <v>258</v>
      </c>
      <c r="T67" t="s">
        <v>144</v>
      </c>
      <c r="U67" t="s">
        <v>133</v>
      </c>
    </row>
    <row r="68" spans="5:21" x14ac:dyDescent="0.35">
      <c r="E68" t="s">
        <v>333</v>
      </c>
      <c r="F68">
        <v>43758001</v>
      </c>
      <c r="G68">
        <v>1</v>
      </c>
      <c r="H68">
        <v>2171.29</v>
      </c>
      <c r="I68">
        <v>3578.27</v>
      </c>
      <c r="J68" s="32">
        <v>42924</v>
      </c>
      <c r="K68" s="32">
        <v>42927</v>
      </c>
      <c r="L68">
        <v>3</v>
      </c>
      <c r="M68" t="s">
        <v>334</v>
      </c>
      <c r="N68" t="s">
        <v>335</v>
      </c>
      <c r="O68" t="s">
        <v>142</v>
      </c>
      <c r="P68" t="s">
        <v>138</v>
      </c>
      <c r="Q68" t="s">
        <v>120</v>
      </c>
      <c r="R68" t="s">
        <v>121</v>
      </c>
      <c r="S68" t="s">
        <v>122</v>
      </c>
      <c r="T68" t="s">
        <v>123</v>
      </c>
      <c r="U68" t="s">
        <v>124</v>
      </c>
    </row>
    <row r="69" spans="5:21" x14ac:dyDescent="0.35">
      <c r="E69" t="s">
        <v>336</v>
      </c>
      <c r="F69">
        <v>43759001</v>
      </c>
      <c r="G69">
        <v>1</v>
      </c>
      <c r="H69">
        <v>2171.29</v>
      </c>
      <c r="I69">
        <v>3578.27</v>
      </c>
      <c r="J69" s="32">
        <v>42924</v>
      </c>
      <c r="K69" s="32">
        <v>42927</v>
      </c>
      <c r="L69">
        <v>3</v>
      </c>
      <c r="M69" t="s">
        <v>337</v>
      </c>
      <c r="N69" t="s">
        <v>338</v>
      </c>
      <c r="O69" t="s">
        <v>220</v>
      </c>
      <c r="P69" t="s">
        <v>194</v>
      </c>
      <c r="Q69" t="s">
        <v>120</v>
      </c>
      <c r="R69" t="s">
        <v>121</v>
      </c>
      <c r="S69" t="s">
        <v>122</v>
      </c>
      <c r="T69" t="s">
        <v>123</v>
      </c>
      <c r="U69" t="s">
        <v>124</v>
      </c>
    </row>
    <row r="70" spans="5:21" x14ac:dyDescent="0.35">
      <c r="E70" t="s">
        <v>339</v>
      </c>
      <c r="F70">
        <v>43760001</v>
      </c>
      <c r="G70">
        <v>1</v>
      </c>
      <c r="H70">
        <v>2171.29</v>
      </c>
      <c r="I70">
        <v>3578.27</v>
      </c>
      <c r="J70" s="32">
        <v>42924</v>
      </c>
      <c r="K70" s="32">
        <v>42929</v>
      </c>
      <c r="L70">
        <v>5</v>
      </c>
      <c r="M70" t="s">
        <v>340</v>
      </c>
      <c r="N70" t="s">
        <v>207</v>
      </c>
      <c r="O70" t="s">
        <v>149</v>
      </c>
      <c r="P70" t="s">
        <v>150</v>
      </c>
      <c r="Q70" t="s">
        <v>120</v>
      </c>
      <c r="R70" t="s">
        <v>121</v>
      </c>
      <c r="S70" t="s">
        <v>186</v>
      </c>
      <c r="T70" t="s">
        <v>123</v>
      </c>
      <c r="U70" t="s">
        <v>124</v>
      </c>
    </row>
    <row r="71" spans="5:21" x14ac:dyDescent="0.35">
      <c r="E71" t="s">
        <v>341</v>
      </c>
      <c r="F71">
        <v>43761001</v>
      </c>
      <c r="G71">
        <v>1</v>
      </c>
      <c r="H71">
        <v>2171.29</v>
      </c>
      <c r="I71">
        <v>3578.27</v>
      </c>
      <c r="J71" s="32">
        <v>42924</v>
      </c>
      <c r="K71" s="32">
        <v>42927</v>
      </c>
      <c r="L71">
        <v>3</v>
      </c>
      <c r="M71" t="s">
        <v>342</v>
      </c>
      <c r="N71" t="s">
        <v>343</v>
      </c>
      <c r="O71" t="s">
        <v>204</v>
      </c>
      <c r="P71" t="s">
        <v>150</v>
      </c>
      <c r="Q71" t="s">
        <v>120</v>
      </c>
      <c r="R71" t="s">
        <v>121</v>
      </c>
      <c r="S71" t="s">
        <v>122</v>
      </c>
      <c r="T71" t="s">
        <v>123</v>
      </c>
      <c r="U71" t="s">
        <v>124</v>
      </c>
    </row>
    <row r="72" spans="5:21" x14ac:dyDescent="0.35">
      <c r="E72" t="s">
        <v>344</v>
      </c>
      <c r="F72">
        <v>43762001</v>
      </c>
      <c r="G72">
        <v>1</v>
      </c>
      <c r="H72">
        <v>2171.29</v>
      </c>
      <c r="I72">
        <v>3578.27</v>
      </c>
      <c r="J72" s="32">
        <v>42925</v>
      </c>
      <c r="K72" s="32">
        <v>42935</v>
      </c>
      <c r="L72">
        <v>10</v>
      </c>
      <c r="M72" t="s">
        <v>345</v>
      </c>
      <c r="N72" t="s">
        <v>346</v>
      </c>
      <c r="O72" t="s">
        <v>142</v>
      </c>
      <c r="P72" t="s">
        <v>138</v>
      </c>
      <c r="Q72" t="s">
        <v>120</v>
      </c>
      <c r="R72" t="s">
        <v>121</v>
      </c>
      <c r="S72" t="s">
        <v>186</v>
      </c>
      <c r="T72" t="s">
        <v>123</v>
      </c>
      <c r="U72" t="s">
        <v>124</v>
      </c>
    </row>
    <row r="73" spans="5:21" x14ac:dyDescent="0.35">
      <c r="E73" t="s">
        <v>347</v>
      </c>
      <c r="F73">
        <v>43763001</v>
      </c>
      <c r="G73">
        <v>1</v>
      </c>
      <c r="H73">
        <v>2171.29</v>
      </c>
      <c r="I73">
        <v>3578.27</v>
      </c>
      <c r="J73" s="32">
        <v>42925</v>
      </c>
      <c r="K73" s="32">
        <v>42932</v>
      </c>
      <c r="L73">
        <v>7</v>
      </c>
      <c r="M73" t="s">
        <v>348</v>
      </c>
      <c r="N73" t="s">
        <v>207</v>
      </c>
      <c r="O73" t="s">
        <v>149</v>
      </c>
      <c r="P73" t="s">
        <v>150</v>
      </c>
      <c r="Q73" t="s">
        <v>120</v>
      </c>
      <c r="R73" t="s">
        <v>121</v>
      </c>
      <c r="S73" t="s">
        <v>182</v>
      </c>
      <c r="T73" t="s">
        <v>123</v>
      </c>
      <c r="U73" t="s">
        <v>124</v>
      </c>
    </row>
    <row r="74" spans="5:21" x14ac:dyDescent="0.35">
      <c r="E74" t="s">
        <v>349</v>
      </c>
      <c r="F74">
        <v>43764001</v>
      </c>
      <c r="G74">
        <v>1</v>
      </c>
      <c r="H74">
        <v>2171.29</v>
      </c>
      <c r="I74">
        <v>3578.27</v>
      </c>
      <c r="J74" s="32">
        <v>42925</v>
      </c>
      <c r="K74" s="32">
        <v>42930</v>
      </c>
      <c r="L74">
        <v>5</v>
      </c>
      <c r="M74" t="s">
        <v>350</v>
      </c>
      <c r="N74" t="s">
        <v>254</v>
      </c>
      <c r="O74" t="s">
        <v>149</v>
      </c>
      <c r="P74" t="s">
        <v>150</v>
      </c>
      <c r="Q74" t="s">
        <v>120</v>
      </c>
      <c r="R74" t="s">
        <v>121</v>
      </c>
      <c r="S74" t="s">
        <v>122</v>
      </c>
      <c r="T74" t="s">
        <v>123</v>
      </c>
      <c r="U74" t="s">
        <v>124</v>
      </c>
    </row>
    <row r="75" spans="5:21" x14ac:dyDescent="0.35">
      <c r="E75" t="s">
        <v>351</v>
      </c>
      <c r="F75">
        <v>43765001</v>
      </c>
      <c r="G75">
        <v>1</v>
      </c>
      <c r="H75">
        <v>1912.15</v>
      </c>
      <c r="I75">
        <v>3399.99</v>
      </c>
      <c r="J75" s="32">
        <v>42925</v>
      </c>
      <c r="K75" s="32">
        <v>42927</v>
      </c>
      <c r="L75">
        <v>2</v>
      </c>
      <c r="M75" t="s">
        <v>352</v>
      </c>
      <c r="N75" t="s">
        <v>160</v>
      </c>
      <c r="O75" t="s">
        <v>161</v>
      </c>
      <c r="P75" t="s">
        <v>150</v>
      </c>
      <c r="Q75" t="s">
        <v>120</v>
      </c>
      <c r="R75" t="s">
        <v>130</v>
      </c>
      <c r="S75" t="s">
        <v>131</v>
      </c>
      <c r="T75" t="s">
        <v>132</v>
      </c>
      <c r="U75" t="s">
        <v>133</v>
      </c>
    </row>
    <row r="76" spans="5:21" x14ac:dyDescent="0.35">
      <c r="E76" t="s">
        <v>353</v>
      </c>
      <c r="F76">
        <v>43766001</v>
      </c>
      <c r="G76">
        <v>1</v>
      </c>
      <c r="H76">
        <v>2171.29</v>
      </c>
      <c r="I76">
        <v>3578.27</v>
      </c>
      <c r="J76" s="32">
        <v>42925</v>
      </c>
      <c r="K76" s="32">
        <v>42932</v>
      </c>
      <c r="L76">
        <v>7</v>
      </c>
      <c r="M76" t="s">
        <v>354</v>
      </c>
      <c r="N76" t="s">
        <v>355</v>
      </c>
      <c r="O76" t="s">
        <v>204</v>
      </c>
      <c r="P76" t="s">
        <v>150</v>
      </c>
      <c r="Q76" t="s">
        <v>120</v>
      </c>
      <c r="R76" t="s">
        <v>121</v>
      </c>
      <c r="S76" t="s">
        <v>182</v>
      </c>
      <c r="T76" t="s">
        <v>123</v>
      </c>
      <c r="U76" t="s">
        <v>124</v>
      </c>
    </row>
    <row r="77" spans="5:21" x14ac:dyDescent="0.35">
      <c r="E77" t="s">
        <v>356</v>
      </c>
      <c r="F77">
        <v>43767001</v>
      </c>
      <c r="G77">
        <v>1</v>
      </c>
      <c r="H77">
        <v>1898.09</v>
      </c>
      <c r="I77">
        <v>3374.99</v>
      </c>
      <c r="J77" s="32">
        <v>42925</v>
      </c>
      <c r="K77" s="32">
        <v>42929</v>
      </c>
      <c r="L77">
        <v>4</v>
      </c>
      <c r="M77" t="s">
        <v>357</v>
      </c>
      <c r="N77" t="s">
        <v>343</v>
      </c>
      <c r="O77" t="s">
        <v>204</v>
      </c>
      <c r="P77" t="s">
        <v>150</v>
      </c>
      <c r="Q77" t="s">
        <v>120</v>
      </c>
      <c r="R77" t="s">
        <v>130</v>
      </c>
      <c r="S77" t="s">
        <v>258</v>
      </c>
      <c r="T77" t="s">
        <v>144</v>
      </c>
      <c r="U77" t="s">
        <v>133</v>
      </c>
    </row>
    <row r="78" spans="5:21" x14ac:dyDescent="0.35">
      <c r="E78" t="s">
        <v>358</v>
      </c>
      <c r="F78">
        <v>43768001</v>
      </c>
      <c r="G78">
        <v>1</v>
      </c>
      <c r="H78">
        <v>2171.29</v>
      </c>
      <c r="I78">
        <v>3578.27</v>
      </c>
      <c r="J78" s="32">
        <v>42926</v>
      </c>
      <c r="K78" s="32">
        <v>42936</v>
      </c>
      <c r="L78">
        <v>10</v>
      </c>
      <c r="M78" t="s">
        <v>359</v>
      </c>
      <c r="N78" t="s">
        <v>360</v>
      </c>
      <c r="O78" t="s">
        <v>213</v>
      </c>
      <c r="P78" t="s">
        <v>138</v>
      </c>
      <c r="Q78" t="s">
        <v>120</v>
      </c>
      <c r="R78" t="s">
        <v>121</v>
      </c>
      <c r="S78" t="s">
        <v>169</v>
      </c>
      <c r="T78" t="s">
        <v>123</v>
      </c>
      <c r="U78" t="s">
        <v>124</v>
      </c>
    </row>
    <row r="79" spans="5:21" x14ac:dyDescent="0.35">
      <c r="E79" t="s">
        <v>361</v>
      </c>
      <c r="F79">
        <v>43769001</v>
      </c>
      <c r="G79">
        <v>1</v>
      </c>
      <c r="H79">
        <v>2171.29</v>
      </c>
      <c r="I79">
        <v>3578.27</v>
      </c>
      <c r="J79" s="32">
        <v>42926</v>
      </c>
      <c r="K79" s="32">
        <v>42928</v>
      </c>
      <c r="L79">
        <v>2</v>
      </c>
      <c r="M79" t="s">
        <v>362</v>
      </c>
      <c r="N79" t="s">
        <v>363</v>
      </c>
      <c r="O79" t="s">
        <v>118</v>
      </c>
      <c r="P79" t="s">
        <v>119</v>
      </c>
      <c r="Q79" t="s">
        <v>120</v>
      </c>
      <c r="R79" t="s">
        <v>121</v>
      </c>
      <c r="S79" t="s">
        <v>169</v>
      </c>
      <c r="T79" t="s">
        <v>123</v>
      </c>
      <c r="U79" t="s">
        <v>124</v>
      </c>
    </row>
    <row r="80" spans="5:21" x14ac:dyDescent="0.35">
      <c r="E80" t="s">
        <v>364</v>
      </c>
      <c r="F80">
        <v>43770001</v>
      </c>
      <c r="G80">
        <v>1</v>
      </c>
      <c r="H80">
        <v>2171.29</v>
      </c>
      <c r="I80">
        <v>3578.27</v>
      </c>
      <c r="J80" s="32">
        <v>42926</v>
      </c>
      <c r="K80" s="32">
        <v>42929</v>
      </c>
      <c r="L80">
        <v>3</v>
      </c>
      <c r="M80" t="s">
        <v>365</v>
      </c>
      <c r="N80" t="s">
        <v>366</v>
      </c>
      <c r="O80" t="s">
        <v>213</v>
      </c>
      <c r="P80" t="s">
        <v>138</v>
      </c>
      <c r="Q80" t="s">
        <v>120</v>
      </c>
      <c r="R80" t="s">
        <v>121</v>
      </c>
      <c r="S80" t="s">
        <v>169</v>
      </c>
      <c r="T80" t="s">
        <v>123</v>
      </c>
      <c r="U80" t="s">
        <v>124</v>
      </c>
    </row>
    <row r="81" spans="5:21" x14ac:dyDescent="0.35">
      <c r="E81" t="s">
        <v>367</v>
      </c>
      <c r="F81">
        <v>43771001</v>
      </c>
      <c r="G81">
        <v>1</v>
      </c>
      <c r="H81">
        <v>413.15</v>
      </c>
      <c r="I81">
        <v>699.1</v>
      </c>
      <c r="J81" s="32">
        <v>42926</v>
      </c>
      <c r="K81" s="32">
        <v>42935</v>
      </c>
      <c r="L81">
        <v>9</v>
      </c>
      <c r="M81" t="s">
        <v>368</v>
      </c>
      <c r="N81" t="s">
        <v>369</v>
      </c>
      <c r="O81" t="s">
        <v>142</v>
      </c>
      <c r="P81" t="s">
        <v>138</v>
      </c>
      <c r="Q81" t="s">
        <v>120</v>
      </c>
      <c r="R81" t="s">
        <v>121</v>
      </c>
      <c r="S81" t="s">
        <v>178</v>
      </c>
      <c r="T81" t="s">
        <v>123</v>
      </c>
      <c r="U81" t="s">
        <v>145</v>
      </c>
    </row>
    <row r="82" spans="5:21" x14ac:dyDescent="0.35">
      <c r="E82" t="s">
        <v>370</v>
      </c>
      <c r="F82">
        <v>43772001</v>
      </c>
      <c r="G82">
        <v>1</v>
      </c>
      <c r="H82">
        <v>2171.29</v>
      </c>
      <c r="I82">
        <v>3578.27</v>
      </c>
      <c r="J82" s="32">
        <v>42926</v>
      </c>
      <c r="K82" s="32">
        <v>42928</v>
      </c>
      <c r="L82">
        <v>2</v>
      </c>
      <c r="M82" t="s">
        <v>371</v>
      </c>
      <c r="N82" t="s">
        <v>257</v>
      </c>
      <c r="O82" t="s">
        <v>161</v>
      </c>
      <c r="P82" t="s">
        <v>150</v>
      </c>
      <c r="Q82" t="s">
        <v>120</v>
      </c>
      <c r="R82" t="s">
        <v>121</v>
      </c>
      <c r="S82" t="s">
        <v>169</v>
      </c>
      <c r="T82" t="s">
        <v>123</v>
      </c>
      <c r="U82" t="s">
        <v>124</v>
      </c>
    </row>
    <row r="83" spans="5:21" x14ac:dyDescent="0.35">
      <c r="E83" t="s">
        <v>372</v>
      </c>
      <c r="F83">
        <v>43773001</v>
      </c>
      <c r="G83">
        <v>1</v>
      </c>
      <c r="H83">
        <v>2171.29</v>
      </c>
      <c r="I83">
        <v>3578.27</v>
      </c>
      <c r="J83" s="32">
        <v>42926</v>
      </c>
      <c r="K83" s="32">
        <v>42933</v>
      </c>
      <c r="L83">
        <v>7</v>
      </c>
      <c r="M83" t="s">
        <v>373</v>
      </c>
      <c r="N83" t="s">
        <v>332</v>
      </c>
      <c r="O83" t="s">
        <v>204</v>
      </c>
      <c r="P83" t="s">
        <v>150</v>
      </c>
      <c r="Q83" t="s">
        <v>120</v>
      </c>
      <c r="R83" t="s">
        <v>121</v>
      </c>
      <c r="S83" t="s">
        <v>186</v>
      </c>
      <c r="T83" t="s">
        <v>123</v>
      </c>
      <c r="U83" t="s">
        <v>124</v>
      </c>
    </row>
    <row r="84" spans="5:21" x14ac:dyDescent="0.35">
      <c r="E84" t="s">
        <v>374</v>
      </c>
      <c r="F84">
        <v>43774001</v>
      </c>
      <c r="G84">
        <v>1</v>
      </c>
      <c r="H84">
        <v>2171.29</v>
      </c>
      <c r="I84">
        <v>3578.27</v>
      </c>
      <c r="J84" s="32">
        <v>42926</v>
      </c>
      <c r="K84" s="32">
        <v>42932</v>
      </c>
      <c r="L84">
        <v>6</v>
      </c>
      <c r="M84" t="s">
        <v>375</v>
      </c>
      <c r="N84" t="s">
        <v>207</v>
      </c>
      <c r="O84" t="s">
        <v>149</v>
      </c>
      <c r="P84" t="s">
        <v>150</v>
      </c>
      <c r="Q84" t="s">
        <v>120</v>
      </c>
      <c r="R84" t="s">
        <v>121</v>
      </c>
      <c r="S84" t="s">
        <v>182</v>
      </c>
      <c r="T84" t="s">
        <v>123</v>
      </c>
      <c r="U84" t="s">
        <v>124</v>
      </c>
    </row>
    <row r="85" spans="5:21" x14ac:dyDescent="0.35">
      <c r="E85" t="s">
        <v>376</v>
      </c>
      <c r="F85">
        <v>43775001</v>
      </c>
      <c r="G85">
        <v>1</v>
      </c>
      <c r="H85">
        <v>1912.15</v>
      </c>
      <c r="I85">
        <v>3399.99</v>
      </c>
      <c r="J85" s="32">
        <v>42926</v>
      </c>
      <c r="K85" s="32">
        <v>42933</v>
      </c>
      <c r="L85">
        <v>7</v>
      </c>
      <c r="M85" t="s">
        <v>377</v>
      </c>
      <c r="N85" t="s">
        <v>292</v>
      </c>
      <c r="O85" t="s">
        <v>204</v>
      </c>
      <c r="P85" t="s">
        <v>150</v>
      </c>
      <c r="Q85" t="s">
        <v>120</v>
      </c>
      <c r="R85" t="s">
        <v>130</v>
      </c>
      <c r="S85" t="s">
        <v>293</v>
      </c>
      <c r="T85" t="s">
        <v>132</v>
      </c>
      <c r="U85" t="s">
        <v>133</v>
      </c>
    </row>
    <row r="86" spans="5:21" x14ac:dyDescent="0.35">
      <c r="E86" t="s">
        <v>378</v>
      </c>
      <c r="F86">
        <v>43776001</v>
      </c>
      <c r="G86">
        <v>1</v>
      </c>
      <c r="H86">
        <v>2171.29</v>
      </c>
      <c r="I86">
        <v>3578.27</v>
      </c>
      <c r="J86" s="32">
        <v>42926</v>
      </c>
      <c r="K86" s="32">
        <v>42936</v>
      </c>
      <c r="L86">
        <v>10</v>
      </c>
      <c r="M86" t="s">
        <v>379</v>
      </c>
      <c r="N86" t="s">
        <v>380</v>
      </c>
      <c r="O86" t="s">
        <v>381</v>
      </c>
      <c r="P86" t="s">
        <v>194</v>
      </c>
      <c r="Q86" t="s">
        <v>120</v>
      </c>
      <c r="R86" t="s">
        <v>121</v>
      </c>
      <c r="S86" t="s">
        <v>186</v>
      </c>
      <c r="T86" t="s">
        <v>123</v>
      </c>
      <c r="U86" t="s">
        <v>124</v>
      </c>
    </row>
    <row r="87" spans="5:21" x14ac:dyDescent="0.35">
      <c r="E87" t="s">
        <v>382</v>
      </c>
      <c r="F87">
        <v>43777001</v>
      </c>
      <c r="G87">
        <v>1</v>
      </c>
      <c r="H87">
        <v>2171.29</v>
      </c>
      <c r="I87">
        <v>3578.27</v>
      </c>
      <c r="J87" s="32">
        <v>42926</v>
      </c>
      <c r="K87" s="32">
        <v>42929</v>
      </c>
      <c r="L87">
        <v>3</v>
      </c>
      <c r="M87" t="s">
        <v>383</v>
      </c>
      <c r="N87" t="s">
        <v>269</v>
      </c>
      <c r="O87" t="s">
        <v>270</v>
      </c>
      <c r="P87" t="s">
        <v>150</v>
      </c>
      <c r="Q87" t="s">
        <v>120</v>
      </c>
      <c r="R87" t="s">
        <v>121</v>
      </c>
      <c r="S87" t="s">
        <v>153</v>
      </c>
      <c r="T87" t="s">
        <v>123</v>
      </c>
      <c r="U87" t="s">
        <v>124</v>
      </c>
    </row>
    <row r="88" spans="5:21" x14ac:dyDescent="0.35">
      <c r="E88" t="s">
        <v>384</v>
      </c>
      <c r="F88">
        <v>43778001</v>
      </c>
      <c r="G88">
        <v>1</v>
      </c>
      <c r="H88">
        <v>1912.15</v>
      </c>
      <c r="I88">
        <v>3399.99</v>
      </c>
      <c r="J88" s="32">
        <v>42926</v>
      </c>
      <c r="K88" s="32">
        <v>42930</v>
      </c>
      <c r="L88">
        <v>4</v>
      </c>
      <c r="M88" t="s">
        <v>385</v>
      </c>
      <c r="N88" t="s">
        <v>232</v>
      </c>
      <c r="O88" t="s">
        <v>204</v>
      </c>
      <c r="P88" t="s">
        <v>150</v>
      </c>
      <c r="Q88" t="s">
        <v>120</v>
      </c>
      <c r="R88" t="s">
        <v>130</v>
      </c>
      <c r="S88" t="s">
        <v>386</v>
      </c>
      <c r="T88" t="s">
        <v>132</v>
      </c>
      <c r="U88" t="s">
        <v>133</v>
      </c>
    </row>
    <row r="89" spans="5:21" x14ac:dyDescent="0.35">
      <c r="E89" t="s">
        <v>387</v>
      </c>
      <c r="F89">
        <v>43779001</v>
      </c>
      <c r="G89">
        <v>1</v>
      </c>
      <c r="H89">
        <v>413.15</v>
      </c>
      <c r="I89">
        <v>699.1</v>
      </c>
      <c r="J89" s="32">
        <v>42926</v>
      </c>
      <c r="K89" s="32">
        <v>42933</v>
      </c>
      <c r="L89">
        <v>7</v>
      </c>
      <c r="M89" t="s">
        <v>388</v>
      </c>
      <c r="N89" t="s">
        <v>389</v>
      </c>
      <c r="O89" t="s">
        <v>149</v>
      </c>
      <c r="P89" t="s">
        <v>150</v>
      </c>
      <c r="Q89" t="s">
        <v>120</v>
      </c>
      <c r="R89" t="s">
        <v>121</v>
      </c>
      <c r="S89" t="s">
        <v>390</v>
      </c>
      <c r="T89" t="s">
        <v>123</v>
      </c>
      <c r="U89" t="s">
        <v>145</v>
      </c>
    </row>
    <row r="90" spans="5:21" x14ac:dyDescent="0.35">
      <c r="E90" t="s">
        <v>391</v>
      </c>
      <c r="F90">
        <v>43780001</v>
      </c>
      <c r="G90">
        <v>1</v>
      </c>
      <c r="H90">
        <v>2171.29</v>
      </c>
      <c r="I90">
        <v>3578.27</v>
      </c>
      <c r="J90" s="32">
        <v>42927</v>
      </c>
      <c r="K90" s="32">
        <v>42935</v>
      </c>
      <c r="L90">
        <v>8</v>
      </c>
      <c r="M90" t="s">
        <v>392</v>
      </c>
      <c r="N90" t="s">
        <v>393</v>
      </c>
      <c r="O90" t="s">
        <v>277</v>
      </c>
      <c r="P90" t="s">
        <v>129</v>
      </c>
      <c r="Q90" t="s">
        <v>120</v>
      </c>
      <c r="R90" t="s">
        <v>121</v>
      </c>
      <c r="S90" t="s">
        <v>153</v>
      </c>
      <c r="T90" t="s">
        <v>123</v>
      </c>
      <c r="U90" t="s">
        <v>124</v>
      </c>
    </row>
    <row r="91" spans="5:21" x14ac:dyDescent="0.35">
      <c r="E91" t="s">
        <v>394</v>
      </c>
      <c r="F91">
        <v>43781001</v>
      </c>
      <c r="G91">
        <v>1</v>
      </c>
      <c r="H91">
        <v>2171.29</v>
      </c>
      <c r="I91">
        <v>3578.27</v>
      </c>
      <c r="J91" s="32">
        <v>42927</v>
      </c>
      <c r="K91" s="32">
        <v>42936</v>
      </c>
      <c r="L91">
        <v>9</v>
      </c>
      <c r="M91" t="s">
        <v>395</v>
      </c>
      <c r="N91" t="s">
        <v>292</v>
      </c>
      <c r="O91" t="s">
        <v>204</v>
      </c>
      <c r="P91" t="s">
        <v>150</v>
      </c>
      <c r="Q91" t="s">
        <v>120</v>
      </c>
      <c r="R91" t="s">
        <v>121</v>
      </c>
      <c r="S91" t="s">
        <v>169</v>
      </c>
      <c r="T91" t="s">
        <v>123</v>
      </c>
      <c r="U91" t="s">
        <v>124</v>
      </c>
    </row>
    <row r="92" spans="5:21" x14ac:dyDescent="0.35">
      <c r="E92" t="s">
        <v>396</v>
      </c>
      <c r="F92">
        <v>43782001</v>
      </c>
      <c r="G92">
        <v>1</v>
      </c>
      <c r="H92">
        <v>2171.29</v>
      </c>
      <c r="I92">
        <v>3578.27</v>
      </c>
      <c r="J92" s="32">
        <v>42927</v>
      </c>
      <c r="K92" s="32">
        <v>42929</v>
      </c>
      <c r="L92">
        <v>2</v>
      </c>
      <c r="M92" t="s">
        <v>397</v>
      </c>
      <c r="N92" t="s">
        <v>398</v>
      </c>
      <c r="O92" t="s">
        <v>161</v>
      </c>
      <c r="P92" t="s">
        <v>150</v>
      </c>
      <c r="Q92" t="s">
        <v>120</v>
      </c>
      <c r="R92" t="s">
        <v>121</v>
      </c>
      <c r="S92" t="s">
        <v>169</v>
      </c>
      <c r="T92" t="s">
        <v>123</v>
      </c>
      <c r="U92" t="s">
        <v>124</v>
      </c>
    </row>
    <row r="93" spans="5:21" x14ac:dyDescent="0.35">
      <c r="E93" t="s">
        <v>399</v>
      </c>
      <c r="F93">
        <v>43783001</v>
      </c>
      <c r="G93">
        <v>1</v>
      </c>
      <c r="H93">
        <v>2171.29</v>
      </c>
      <c r="I93">
        <v>3578.27</v>
      </c>
      <c r="J93" s="32">
        <v>42927</v>
      </c>
      <c r="K93" s="32">
        <v>42932</v>
      </c>
      <c r="L93">
        <v>5</v>
      </c>
      <c r="M93" t="s">
        <v>400</v>
      </c>
      <c r="N93" t="s">
        <v>401</v>
      </c>
      <c r="O93" t="s">
        <v>149</v>
      </c>
      <c r="P93" t="s">
        <v>150</v>
      </c>
      <c r="Q93" t="s">
        <v>120</v>
      </c>
      <c r="R93" t="s">
        <v>121</v>
      </c>
      <c r="S93" t="s">
        <v>169</v>
      </c>
      <c r="T93" t="s">
        <v>123</v>
      </c>
      <c r="U93" t="s">
        <v>124</v>
      </c>
    </row>
    <row r="94" spans="5:21" x14ac:dyDescent="0.35">
      <c r="E94" t="s">
        <v>402</v>
      </c>
      <c r="F94">
        <v>43784001</v>
      </c>
      <c r="G94">
        <v>1</v>
      </c>
      <c r="H94">
        <v>2171.29</v>
      </c>
      <c r="I94">
        <v>3578.27</v>
      </c>
      <c r="J94" s="32">
        <v>42928</v>
      </c>
      <c r="K94" s="32">
        <v>42934</v>
      </c>
      <c r="L94">
        <v>6</v>
      </c>
      <c r="M94" t="s">
        <v>403</v>
      </c>
      <c r="N94" t="s">
        <v>404</v>
      </c>
      <c r="O94" t="s">
        <v>142</v>
      </c>
      <c r="P94" t="s">
        <v>138</v>
      </c>
      <c r="Q94" t="s">
        <v>120</v>
      </c>
      <c r="R94" t="s">
        <v>121</v>
      </c>
      <c r="S94" t="s">
        <v>122</v>
      </c>
      <c r="T94" t="s">
        <v>123</v>
      </c>
      <c r="U94" t="s">
        <v>124</v>
      </c>
    </row>
    <row r="95" spans="5:21" x14ac:dyDescent="0.35">
      <c r="E95" t="s">
        <v>405</v>
      </c>
      <c r="F95">
        <v>43785001</v>
      </c>
      <c r="G95">
        <v>1</v>
      </c>
      <c r="H95">
        <v>2171.29</v>
      </c>
      <c r="I95">
        <v>3578.27</v>
      </c>
      <c r="J95" s="32">
        <v>42928</v>
      </c>
      <c r="K95" s="32">
        <v>42935</v>
      </c>
      <c r="L95">
        <v>7</v>
      </c>
      <c r="M95" t="s">
        <v>406</v>
      </c>
      <c r="N95" t="s">
        <v>312</v>
      </c>
      <c r="O95" t="s">
        <v>313</v>
      </c>
      <c r="P95" t="s">
        <v>129</v>
      </c>
      <c r="Q95" t="s">
        <v>120</v>
      </c>
      <c r="R95" t="s">
        <v>121</v>
      </c>
      <c r="S95" t="s">
        <v>153</v>
      </c>
      <c r="T95" t="s">
        <v>123</v>
      </c>
      <c r="U95" t="s">
        <v>124</v>
      </c>
    </row>
    <row r="96" spans="5:21" x14ac:dyDescent="0.35">
      <c r="E96" t="s">
        <v>407</v>
      </c>
      <c r="F96">
        <v>43786001</v>
      </c>
      <c r="G96">
        <v>1</v>
      </c>
      <c r="H96">
        <v>2171.29</v>
      </c>
      <c r="I96">
        <v>3578.27</v>
      </c>
      <c r="J96" s="32">
        <v>42928</v>
      </c>
      <c r="K96" s="32">
        <v>42932</v>
      </c>
      <c r="L96">
        <v>4</v>
      </c>
      <c r="M96" t="s">
        <v>408</v>
      </c>
      <c r="N96" t="s">
        <v>316</v>
      </c>
      <c r="O96" t="s">
        <v>317</v>
      </c>
      <c r="P96" t="s">
        <v>129</v>
      </c>
      <c r="Q96" t="s">
        <v>120</v>
      </c>
      <c r="R96" t="s">
        <v>121</v>
      </c>
      <c r="S96" t="s">
        <v>153</v>
      </c>
      <c r="T96" t="s">
        <v>123</v>
      </c>
      <c r="U96" t="s">
        <v>124</v>
      </c>
    </row>
    <row r="97" spans="5:21" x14ac:dyDescent="0.35">
      <c r="E97" t="s">
        <v>409</v>
      </c>
      <c r="F97">
        <v>43787001</v>
      </c>
      <c r="G97">
        <v>1</v>
      </c>
      <c r="H97">
        <v>1912.15</v>
      </c>
      <c r="I97">
        <v>3399.99</v>
      </c>
      <c r="J97" s="32">
        <v>42928</v>
      </c>
      <c r="K97" s="32">
        <v>42934</v>
      </c>
      <c r="L97">
        <v>6</v>
      </c>
      <c r="M97" t="s">
        <v>410</v>
      </c>
      <c r="N97" t="s">
        <v>411</v>
      </c>
      <c r="O97" t="s">
        <v>236</v>
      </c>
      <c r="P97" t="s">
        <v>194</v>
      </c>
      <c r="Q97" t="s">
        <v>120</v>
      </c>
      <c r="R97" t="s">
        <v>130</v>
      </c>
      <c r="S97" t="s">
        <v>165</v>
      </c>
      <c r="T97" t="s">
        <v>132</v>
      </c>
      <c r="U97" t="s">
        <v>133</v>
      </c>
    </row>
    <row r="98" spans="5:21" x14ac:dyDescent="0.35">
      <c r="E98" t="s">
        <v>412</v>
      </c>
      <c r="F98">
        <v>43788001</v>
      </c>
      <c r="G98">
        <v>1</v>
      </c>
      <c r="H98">
        <v>1898.09</v>
      </c>
      <c r="I98">
        <v>3374.99</v>
      </c>
      <c r="J98" s="32">
        <v>42928</v>
      </c>
      <c r="K98" s="32">
        <v>42930</v>
      </c>
      <c r="L98">
        <v>2</v>
      </c>
      <c r="M98" t="s">
        <v>413</v>
      </c>
      <c r="N98" t="s">
        <v>289</v>
      </c>
      <c r="O98" t="s">
        <v>176</v>
      </c>
      <c r="P98" t="s">
        <v>177</v>
      </c>
      <c r="Q98" t="s">
        <v>120</v>
      </c>
      <c r="R98" t="s">
        <v>130</v>
      </c>
      <c r="S98" t="s">
        <v>162</v>
      </c>
      <c r="T98" t="s">
        <v>144</v>
      </c>
      <c r="U98" t="s">
        <v>133</v>
      </c>
    </row>
    <row r="99" spans="5:21" x14ac:dyDescent="0.35">
      <c r="E99" t="s">
        <v>414</v>
      </c>
      <c r="F99">
        <v>43789001</v>
      </c>
      <c r="G99">
        <v>1</v>
      </c>
      <c r="H99">
        <v>1898.09</v>
      </c>
      <c r="I99">
        <v>3374.99</v>
      </c>
      <c r="J99" s="32">
        <v>42928</v>
      </c>
      <c r="K99" s="32">
        <v>42932</v>
      </c>
      <c r="L99">
        <v>4</v>
      </c>
      <c r="M99" t="s">
        <v>415</v>
      </c>
      <c r="N99" t="s">
        <v>212</v>
      </c>
      <c r="O99" t="s">
        <v>213</v>
      </c>
      <c r="P99" t="s">
        <v>138</v>
      </c>
      <c r="Q99" t="s">
        <v>120</v>
      </c>
      <c r="R99" t="s">
        <v>130</v>
      </c>
      <c r="S99" t="s">
        <v>162</v>
      </c>
      <c r="T99" t="s">
        <v>144</v>
      </c>
      <c r="U99" t="s">
        <v>133</v>
      </c>
    </row>
    <row r="100" spans="5:21" x14ac:dyDescent="0.35">
      <c r="E100" t="s">
        <v>416</v>
      </c>
      <c r="F100">
        <v>43790001</v>
      </c>
      <c r="G100">
        <v>1</v>
      </c>
      <c r="H100">
        <v>1912.15</v>
      </c>
      <c r="I100">
        <v>3399.99</v>
      </c>
      <c r="J100" s="32">
        <v>42928</v>
      </c>
      <c r="K100" s="32">
        <v>42931</v>
      </c>
      <c r="L100">
        <v>3</v>
      </c>
      <c r="M100" t="s">
        <v>417</v>
      </c>
      <c r="N100" t="s">
        <v>418</v>
      </c>
      <c r="O100" t="s">
        <v>137</v>
      </c>
      <c r="P100" t="s">
        <v>138</v>
      </c>
      <c r="Q100" t="s">
        <v>120</v>
      </c>
      <c r="R100" t="s">
        <v>130</v>
      </c>
      <c r="S100" t="s">
        <v>165</v>
      </c>
      <c r="T100" t="s">
        <v>132</v>
      </c>
      <c r="U100" t="s">
        <v>133</v>
      </c>
    </row>
    <row r="101" spans="5:21" x14ac:dyDescent="0.35">
      <c r="E101" t="s">
        <v>419</v>
      </c>
      <c r="F101">
        <v>43791001</v>
      </c>
      <c r="G101">
        <v>1</v>
      </c>
      <c r="H101">
        <v>2171.29</v>
      </c>
      <c r="I101">
        <v>3578.27</v>
      </c>
      <c r="J101" s="32">
        <v>42928</v>
      </c>
      <c r="K101" s="32">
        <v>42931</v>
      </c>
      <c r="L101">
        <v>3</v>
      </c>
      <c r="M101" t="s">
        <v>420</v>
      </c>
      <c r="N101" t="s">
        <v>421</v>
      </c>
      <c r="O101" t="s">
        <v>149</v>
      </c>
      <c r="P101" t="s">
        <v>150</v>
      </c>
      <c r="Q101" t="s">
        <v>120</v>
      </c>
      <c r="R101" t="s">
        <v>121</v>
      </c>
      <c r="S101" t="s">
        <v>186</v>
      </c>
      <c r="T101" t="s">
        <v>123</v>
      </c>
      <c r="U101" t="s">
        <v>124</v>
      </c>
    </row>
    <row r="102" spans="5:21" x14ac:dyDescent="0.35">
      <c r="E102" t="s">
        <v>422</v>
      </c>
      <c r="F102">
        <v>43792001</v>
      </c>
      <c r="G102">
        <v>1</v>
      </c>
      <c r="H102">
        <v>2171.29</v>
      </c>
      <c r="I102">
        <v>3578.27</v>
      </c>
      <c r="J102" s="32">
        <v>42928</v>
      </c>
      <c r="K102" s="32">
        <v>42938</v>
      </c>
      <c r="L102">
        <v>10</v>
      </c>
      <c r="M102" t="s">
        <v>423</v>
      </c>
      <c r="N102" t="s">
        <v>424</v>
      </c>
      <c r="O102" t="s">
        <v>149</v>
      </c>
      <c r="P102" t="s">
        <v>150</v>
      </c>
      <c r="Q102" t="s">
        <v>120</v>
      </c>
      <c r="R102" t="s">
        <v>121</v>
      </c>
      <c r="S102" t="s">
        <v>169</v>
      </c>
      <c r="T102" t="s">
        <v>123</v>
      </c>
      <c r="U102" t="s">
        <v>124</v>
      </c>
    </row>
    <row r="103" spans="5:21" x14ac:dyDescent="0.35">
      <c r="E103" t="s">
        <v>425</v>
      </c>
      <c r="F103">
        <v>43793001</v>
      </c>
      <c r="G103">
        <v>1</v>
      </c>
      <c r="H103">
        <v>1912.15</v>
      </c>
      <c r="I103">
        <v>3399.99</v>
      </c>
      <c r="J103" s="32">
        <v>42928</v>
      </c>
      <c r="K103" s="32">
        <v>42933</v>
      </c>
      <c r="L103">
        <v>5</v>
      </c>
      <c r="M103" t="s">
        <v>426</v>
      </c>
      <c r="N103" t="s">
        <v>181</v>
      </c>
      <c r="O103" t="s">
        <v>161</v>
      </c>
      <c r="P103" t="s">
        <v>150</v>
      </c>
      <c r="Q103" t="s">
        <v>120</v>
      </c>
      <c r="R103" t="s">
        <v>130</v>
      </c>
      <c r="S103" t="s">
        <v>165</v>
      </c>
      <c r="T103" t="s">
        <v>132</v>
      </c>
      <c r="U103" t="s">
        <v>133</v>
      </c>
    </row>
    <row r="104" spans="5:21" x14ac:dyDescent="0.35">
      <c r="E104" t="s">
        <v>427</v>
      </c>
      <c r="F104">
        <v>43794001</v>
      </c>
      <c r="G104">
        <v>1</v>
      </c>
      <c r="H104">
        <v>1912.15</v>
      </c>
      <c r="I104">
        <v>3399.99</v>
      </c>
      <c r="J104" s="32">
        <v>42928</v>
      </c>
      <c r="K104" s="32">
        <v>42930</v>
      </c>
      <c r="L104">
        <v>2</v>
      </c>
      <c r="M104" t="s">
        <v>428</v>
      </c>
      <c r="N104" t="s">
        <v>232</v>
      </c>
      <c r="O104" t="s">
        <v>204</v>
      </c>
      <c r="P104" t="s">
        <v>150</v>
      </c>
      <c r="Q104" t="s">
        <v>120</v>
      </c>
      <c r="R104" t="s">
        <v>130</v>
      </c>
      <c r="S104" t="s">
        <v>293</v>
      </c>
      <c r="T104" t="s">
        <v>132</v>
      </c>
      <c r="U104" t="s">
        <v>133</v>
      </c>
    </row>
    <row r="105" spans="5:21" x14ac:dyDescent="0.35">
      <c r="E105" t="s">
        <v>429</v>
      </c>
      <c r="F105">
        <v>43795001</v>
      </c>
      <c r="G105">
        <v>1</v>
      </c>
      <c r="H105">
        <v>2171.29</v>
      </c>
      <c r="I105">
        <v>3578.27</v>
      </c>
      <c r="J105" s="32">
        <v>42929</v>
      </c>
      <c r="K105" s="32">
        <v>42932</v>
      </c>
      <c r="L105">
        <v>3</v>
      </c>
      <c r="M105" t="s">
        <v>430</v>
      </c>
      <c r="N105" t="s">
        <v>431</v>
      </c>
      <c r="O105" t="s">
        <v>142</v>
      </c>
      <c r="P105" t="s">
        <v>138</v>
      </c>
      <c r="Q105" t="s">
        <v>120</v>
      </c>
      <c r="R105" t="s">
        <v>121</v>
      </c>
      <c r="S105" t="s">
        <v>169</v>
      </c>
      <c r="T105" t="s">
        <v>123</v>
      </c>
      <c r="U105" t="s">
        <v>124</v>
      </c>
    </row>
    <row r="106" spans="5:21" x14ac:dyDescent="0.35">
      <c r="E106" t="s">
        <v>432</v>
      </c>
      <c r="F106">
        <v>43796001</v>
      </c>
      <c r="G106">
        <v>1</v>
      </c>
      <c r="H106">
        <v>413.15</v>
      </c>
      <c r="I106">
        <v>699.1</v>
      </c>
      <c r="J106" s="32">
        <v>42929</v>
      </c>
      <c r="K106" s="32">
        <v>42939</v>
      </c>
      <c r="L106">
        <v>10</v>
      </c>
      <c r="M106" t="s">
        <v>433</v>
      </c>
      <c r="N106" t="s">
        <v>434</v>
      </c>
      <c r="O106" t="s">
        <v>435</v>
      </c>
      <c r="P106" t="s">
        <v>129</v>
      </c>
      <c r="Q106" t="s">
        <v>120</v>
      </c>
      <c r="R106" t="s">
        <v>121</v>
      </c>
      <c r="S106" t="s">
        <v>436</v>
      </c>
      <c r="T106" t="s">
        <v>144</v>
      </c>
      <c r="U106" t="s">
        <v>145</v>
      </c>
    </row>
  </sheetData>
  <conditionalFormatting sqref="C7:C9">
    <cfRule type="expression" dxfId="9" priority="2">
      <formula>$C7="X"</formula>
    </cfRule>
  </conditionalFormatting>
  <conditionalFormatting sqref="B7:B9 B11:B13">
    <cfRule type="expression" dxfId="8" priority="1">
      <formula>$C7="X"</formula>
    </cfRule>
  </conditionalFormatting>
  <pageMargins left="0.7" right="0.7" top="0.75" bottom="0.75" header="0.3" footer="0.3"/>
  <cellWatches>
    <cellWatch r="I2"/>
  </cellWatch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FB121-EED9-4B0F-BC59-D1533F5B5915}">
  <dimension ref="B2:U121"/>
  <sheetViews>
    <sheetView topLeftCell="A9" zoomScale="90" zoomScaleNormal="90" workbookViewId="0">
      <selection activeCell="E20" sqref="E20:U120"/>
    </sheetView>
  </sheetViews>
  <sheetFormatPr baseColWidth="10" defaultRowHeight="18" x14ac:dyDescent="0.35"/>
  <cols>
    <col min="1" max="1" width="4.21875" style="4" customWidth="1"/>
    <col min="2" max="2" width="33.5546875" style="4" customWidth="1"/>
    <col min="3" max="3" width="11.5546875" style="4"/>
    <col min="4" max="4" width="5.88671875" style="4" customWidth="1"/>
    <col min="5" max="5" width="11.5546875" style="4"/>
    <col min="6" max="6" width="16.33203125" style="4" customWidth="1"/>
    <col min="7" max="7" width="13.21875" style="4" customWidth="1"/>
    <col min="8" max="9" width="11.5546875" style="4"/>
    <col min="10" max="10" width="15.5546875" style="4" bestFit="1" customWidth="1"/>
    <col min="11" max="11" width="15.109375" style="4" customWidth="1"/>
    <col min="12" max="12" width="14.6640625" style="4" customWidth="1"/>
    <col min="13" max="13" width="13.77734375" style="4" customWidth="1"/>
    <col min="14" max="14" width="12.44140625" style="4" customWidth="1"/>
    <col min="15" max="15" width="13.33203125" style="4" customWidth="1"/>
    <col min="16" max="16" width="15.33203125" style="4" customWidth="1"/>
    <col min="17" max="17" width="14.6640625" style="4" customWidth="1"/>
    <col min="18" max="18" width="16.88671875" style="4" customWidth="1"/>
    <col min="19" max="19" width="11.5546875" style="4"/>
    <col min="20" max="20" width="11.88671875" style="4" customWidth="1"/>
    <col min="21" max="16384" width="11.5546875" style="4"/>
  </cols>
  <sheetData>
    <row r="2" spans="2:10" ht="22.5" x14ac:dyDescent="0.45">
      <c r="B2" s="1" t="s">
        <v>437</v>
      </c>
    </row>
    <row r="3" spans="2:10" x14ac:dyDescent="0.35">
      <c r="B3" s="4" t="s">
        <v>443</v>
      </c>
    </row>
    <row r="6" spans="2:10" x14ac:dyDescent="0.35">
      <c r="B6" s="29" t="s">
        <v>0</v>
      </c>
      <c r="C6" s="29" t="s">
        <v>1</v>
      </c>
      <c r="E6" s="29" t="s">
        <v>451</v>
      </c>
    </row>
    <row r="7" spans="2:10" x14ac:dyDescent="0.35">
      <c r="B7" s="4" t="s">
        <v>438</v>
      </c>
      <c r="C7" s="3" t="s">
        <v>60</v>
      </c>
      <c r="E7" s="33" t="s">
        <v>444</v>
      </c>
    </row>
    <row r="8" spans="2:10" x14ac:dyDescent="0.35">
      <c r="B8" s="4" t="s">
        <v>439</v>
      </c>
      <c r="C8" s="3" t="s">
        <v>60</v>
      </c>
      <c r="E8" s="33" t="s">
        <v>445</v>
      </c>
    </row>
    <row r="9" spans="2:10" x14ac:dyDescent="0.35">
      <c r="B9" s="4" t="s">
        <v>440</v>
      </c>
      <c r="C9" s="3" t="s">
        <v>60</v>
      </c>
      <c r="E9" s="33" t="s">
        <v>446</v>
      </c>
    </row>
    <row r="10" spans="2:10" x14ac:dyDescent="0.35">
      <c r="B10" s="4" t="s">
        <v>441</v>
      </c>
      <c r="C10" s="3" t="s">
        <v>60</v>
      </c>
      <c r="E10" s="33" t="s">
        <v>447</v>
      </c>
    </row>
    <row r="11" spans="2:10" x14ac:dyDescent="0.35">
      <c r="B11" s="4" t="s">
        <v>442</v>
      </c>
      <c r="C11" s="3" t="s">
        <v>60</v>
      </c>
      <c r="E11" s="33" t="s">
        <v>448</v>
      </c>
    </row>
    <row r="12" spans="2:10" x14ac:dyDescent="0.35">
      <c r="E12" s="33" t="s">
        <v>449</v>
      </c>
    </row>
    <row r="13" spans="2:10" x14ac:dyDescent="0.35">
      <c r="B13" s="29" t="s">
        <v>476</v>
      </c>
      <c r="E13" s="33" t="s">
        <v>450</v>
      </c>
    </row>
    <row r="14" spans="2:10" x14ac:dyDescent="0.35">
      <c r="B14" s="4" t="s">
        <v>477</v>
      </c>
    </row>
    <row r="15" spans="2:10" x14ac:dyDescent="0.35">
      <c r="B15" s="4" t="s">
        <v>478</v>
      </c>
      <c r="E15" s="27" t="s">
        <v>466</v>
      </c>
      <c r="F15" s="27" t="s">
        <v>467</v>
      </c>
      <c r="G15" s="27" t="s">
        <v>468</v>
      </c>
      <c r="H15" s="27" t="s">
        <v>469</v>
      </c>
      <c r="I15" s="27" t="s">
        <v>470</v>
      </c>
      <c r="J15" s="27" t="s">
        <v>471</v>
      </c>
    </row>
    <row r="16" spans="2:10" x14ac:dyDescent="0.35">
      <c r="E16" s="37" t="s">
        <v>472</v>
      </c>
      <c r="F16" t="s">
        <v>473</v>
      </c>
      <c r="G16" t="s">
        <v>464</v>
      </c>
      <c r="H16" s="20">
        <v>36989</v>
      </c>
      <c r="I16" s="38">
        <v>80000</v>
      </c>
      <c r="J16" s="39">
        <f ca="1">NOW()-Table1[[#This Row],[Hire Date]]</f>
        <v>8321.5308804398155</v>
      </c>
    </row>
    <row r="17" spans="5:21" x14ac:dyDescent="0.35">
      <c r="E17" s="37" t="s">
        <v>474</v>
      </c>
      <c r="F17" t="s">
        <v>475</v>
      </c>
      <c r="G17" t="s">
        <v>85</v>
      </c>
      <c r="H17" s="20">
        <v>35411</v>
      </c>
      <c r="I17" s="38">
        <v>110000</v>
      </c>
      <c r="J17" s="39">
        <f ca="1">NOW()-Table1[[#This Row],[Hire Date]]</f>
        <v>9899.5308804398155</v>
      </c>
    </row>
    <row r="18" spans="5:21" x14ac:dyDescent="0.35">
      <c r="E18" t="s">
        <v>462</v>
      </c>
      <c r="F18"/>
      <c r="G18"/>
      <c r="H18"/>
      <c r="I18" s="38">
        <f>SUBTOTAL(109,Table1[Salary])</f>
        <v>190000</v>
      </c>
      <c r="J18"/>
    </row>
    <row r="20" spans="5:21" x14ac:dyDescent="0.35">
      <c r="E20" t="s">
        <v>98</v>
      </c>
      <c r="F20" t="s">
        <v>99</v>
      </c>
      <c r="G20" t="s">
        <v>100</v>
      </c>
      <c r="H20" t="s">
        <v>101</v>
      </c>
      <c r="I20" t="s">
        <v>102</v>
      </c>
      <c r="J20" t="s">
        <v>103</v>
      </c>
      <c r="K20" t="s">
        <v>104</v>
      </c>
      <c r="L20" t="s">
        <v>105</v>
      </c>
      <c r="M20" t="s">
        <v>106</v>
      </c>
      <c r="N20" t="s">
        <v>107</v>
      </c>
      <c r="O20" t="s">
        <v>108</v>
      </c>
      <c r="P20" t="s">
        <v>109</v>
      </c>
      <c r="Q20" t="s">
        <v>110</v>
      </c>
      <c r="R20" t="s">
        <v>111</v>
      </c>
      <c r="S20" t="s">
        <v>112</v>
      </c>
      <c r="T20" t="s">
        <v>113</v>
      </c>
      <c r="U20" t="s">
        <v>114</v>
      </c>
    </row>
    <row r="21" spans="5:21" x14ac:dyDescent="0.35">
      <c r="E21" t="s">
        <v>125</v>
      </c>
      <c r="F21">
        <v>43698001</v>
      </c>
      <c r="G21">
        <v>1</v>
      </c>
      <c r="H21">
        <v>1912.15</v>
      </c>
      <c r="I21">
        <v>3399.99</v>
      </c>
      <c r="J21">
        <v>42917</v>
      </c>
      <c r="K21">
        <v>42927</v>
      </c>
      <c r="L21">
        <v>10</v>
      </c>
      <c r="M21" t="s">
        <v>126</v>
      </c>
      <c r="N21" t="s">
        <v>127</v>
      </c>
      <c r="O21" t="s">
        <v>128</v>
      </c>
      <c r="P21" t="s">
        <v>129</v>
      </c>
      <c r="Q21" t="s">
        <v>120</v>
      </c>
      <c r="R21" t="s">
        <v>130</v>
      </c>
      <c r="S21" t="s">
        <v>131</v>
      </c>
      <c r="T21" t="s">
        <v>132</v>
      </c>
      <c r="U21" t="s">
        <v>133</v>
      </c>
    </row>
    <row r="22" spans="5:21" x14ac:dyDescent="0.35">
      <c r="E22" t="s">
        <v>146</v>
      </c>
      <c r="F22">
        <v>43701001</v>
      </c>
      <c r="G22">
        <v>1</v>
      </c>
      <c r="H22">
        <v>1912.15</v>
      </c>
      <c r="I22">
        <v>3399.99</v>
      </c>
      <c r="J22">
        <v>42917</v>
      </c>
      <c r="K22">
        <v>42927</v>
      </c>
      <c r="L22">
        <v>10</v>
      </c>
      <c r="M22" t="s">
        <v>147</v>
      </c>
      <c r="N22" t="s">
        <v>148</v>
      </c>
      <c r="O22" t="s">
        <v>149</v>
      </c>
      <c r="P22" t="s">
        <v>150</v>
      </c>
      <c r="Q22" t="s">
        <v>120</v>
      </c>
      <c r="R22" t="s">
        <v>130</v>
      </c>
      <c r="S22" t="s">
        <v>131</v>
      </c>
      <c r="T22" t="s">
        <v>132</v>
      </c>
      <c r="U22" t="s">
        <v>133</v>
      </c>
    </row>
    <row r="23" spans="5:21" x14ac:dyDescent="0.35">
      <c r="E23" t="s">
        <v>187</v>
      </c>
      <c r="F23">
        <v>43711001</v>
      </c>
      <c r="G23">
        <v>1</v>
      </c>
      <c r="H23">
        <v>2171.29</v>
      </c>
      <c r="I23">
        <v>3578.27</v>
      </c>
      <c r="J23">
        <v>42918</v>
      </c>
      <c r="K23">
        <v>42928</v>
      </c>
      <c r="L23">
        <v>10</v>
      </c>
      <c r="M23" t="s">
        <v>188</v>
      </c>
      <c r="N23" t="s">
        <v>189</v>
      </c>
      <c r="O23" t="s">
        <v>137</v>
      </c>
      <c r="P23" t="s">
        <v>138</v>
      </c>
      <c r="Q23" t="s">
        <v>120</v>
      </c>
      <c r="R23" t="s">
        <v>121</v>
      </c>
      <c r="S23" t="s">
        <v>186</v>
      </c>
      <c r="T23" t="s">
        <v>123</v>
      </c>
      <c r="U23" t="s">
        <v>124</v>
      </c>
    </row>
    <row r="24" spans="5:21" x14ac:dyDescent="0.35">
      <c r="E24" t="s">
        <v>249</v>
      </c>
      <c r="F24">
        <v>43730001</v>
      </c>
      <c r="G24">
        <v>1</v>
      </c>
      <c r="H24">
        <v>1912.15</v>
      </c>
      <c r="I24">
        <v>3399.99</v>
      </c>
      <c r="J24">
        <v>42921</v>
      </c>
      <c r="K24">
        <v>42931</v>
      </c>
      <c r="L24">
        <v>10</v>
      </c>
      <c r="M24" t="s">
        <v>250</v>
      </c>
      <c r="N24" t="s">
        <v>251</v>
      </c>
      <c r="O24" t="s">
        <v>142</v>
      </c>
      <c r="P24" t="s">
        <v>138</v>
      </c>
      <c r="Q24" t="s">
        <v>120</v>
      </c>
      <c r="R24" t="s">
        <v>130</v>
      </c>
      <c r="S24" t="s">
        <v>131</v>
      </c>
      <c r="T24" t="s">
        <v>132</v>
      </c>
      <c r="U24" t="s">
        <v>133</v>
      </c>
    </row>
    <row r="25" spans="5:21" x14ac:dyDescent="0.35">
      <c r="E25" t="s">
        <v>259</v>
      </c>
      <c r="F25">
        <v>43733001</v>
      </c>
      <c r="G25">
        <v>1</v>
      </c>
      <c r="H25">
        <v>2171.29</v>
      </c>
      <c r="I25">
        <v>3578.27</v>
      </c>
      <c r="J25">
        <v>42921</v>
      </c>
      <c r="K25">
        <v>42931</v>
      </c>
      <c r="L25">
        <v>10</v>
      </c>
      <c r="M25" t="s">
        <v>260</v>
      </c>
      <c r="N25" t="s">
        <v>261</v>
      </c>
      <c r="O25" t="s">
        <v>213</v>
      </c>
      <c r="P25" t="s">
        <v>138</v>
      </c>
      <c r="Q25" t="s">
        <v>120</v>
      </c>
      <c r="R25" t="s">
        <v>121</v>
      </c>
      <c r="S25" t="s">
        <v>169</v>
      </c>
      <c r="T25" t="s">
        <v>123</v>
      </c>
      <c r="U25" t="s">
        <v>124</v>
      </c>
    </row>
    <row r="26" spans="5:21" x14ac:dyDescent="0.35">
      <c r="E26" t="s">
        <v>290</v>
      </c>
      <c r="F26">
        <v>43743001</v>
      </c>
      <c r="G26">
        <v>1</v>
      </c>
      <c r="H26">
        <v>1912.15</v>
      </c>
      <c r="I26">
        <v>3399.99</v>
      </c>
      <c r="J26">
        <v>42922</v>
      </c>
      <c r="K26">
        <v>42932</v>
      </c>
      <c r="L26">
        <v>10</v>
      </c>
      <c r="M26" t="s">
        <v>291</v>
      </c>
      <c r="N26" t="s">
        <v>292</v>
      </c>
      <c r="O26" t="s">
        <v>204</v>
      </c>
      <c r="P26" t="s">
        <v>150</v>
      </c>
      <c r="Q26" t="s">
        <v>120</v>
      </c>
      <c r="R26" t="s">
        <v>130</v>
      </c>
      <c r="S26" t="s">
        <v>293</v>
      </c>
      <c r="T26" t="s">
        <v>132</v>
      </c>
      <c r="U26" t="s">
        <v>133</v>
      </c>
    </row>
    <row r="27" spans="5:21" x14ac:dyDescent="0.35">
      <c r="E27" t="s">
        <v>344</v>
      </c>
      <c r="F27">
        <v>43762001</v>
      </c>
      <c r="G27">
        <v>1</v>
      </c>
      <c r="H27">
        <v>2171.29</v>
      </c>
      <c r="I27">
        <v>3578.27</v>
      </c>
      <c r="J27">
        <v>42925</v>
      </c>
      <c r="K27">
        <v>42935</v>
      </c>
      <c r="L27">
        <v>10</v>
      </c>
      <c r="M27" t="s">
        <v>345</v>
      </c>
      <c r="N27" t="s">
        <v>346</v>
      </c>
      <c r="O27" t="s">
        <v>142</v>
      </c>
      <c r="P27" t="s">
        <v>138</v>
      </c>
      <c r="Q27" t="s">
        <v>120</v>
      </c>
      <c r="R27" t="s">
        <v>121</v>
      </c>
      <c r="S27" t="s">
        <v>186</v>
      </c>
      <c r="T27" t="s">
        <v>123</v>
      </c>
      <c r="U27" t="s">
        <v>124</v>
      </c>
    </row>
    <row r="28" spans="5:21" x14ac:dyDescent="0.35">
      <c r="E28" t="s">
        <v>358</v>
      </c>
      <c r="F28">
        <v>43768001</v>
      </c>
      <c r="G28">
        <v>1</v>
      </c>
      <c r="H28">
        <v>2171.29</v>
      </c>
      <c r="I28">
        <v>3578.27</v>
      </c>
      <c r="J28">
        <v>42926</v>
      </c>
      <c r="K28">
        <v>42936</v>
      </c>
      <c r="L28">
        <v>10</v>
      </c>
      <c r="M28" t="s">
        <v>359</v>
      </c>
      <c r="N28" t="s">
        <v>360</v>
      </c>
      <c r="O28" t="s">
        <v>213</v>
      </c>
      <c r="P28" t="s">
        <v>138</v>
      </c>
      <c r="Q28" t="s">
        <v>120</v>
      </c>
      <c r="R28" t="s">
        <v>121</v>
      </c>
      <c r="S28" t="s">
        <v>169</v>
      </c>
      <c r="T28" t="s">
        <v>123</v>
      </c>
      <c r="U28" t="s">
        <v>124</v>
      </c>
    </row>
    <row r="29" spans="5:21" x14ac:dyDescent="0.35">
      <c r="E29" t="s">
        <v>378</v>
      </c>
      <c r="F29">
        <v>43776001</v>
      </c>
      <c r="G29">
        <v>1</v>
      </c>
      <c r="H29">
        <v>2171.29</v>
      </c>
      <c r="I29">
        <v>3578.27</v>
      </c>
      <c r="J29">
        <v>42926</v>
      </c>
      <c r="K29">
        <v>42936</v>
      </c>
      <c r="L29">
        <v>10</v>
      </c>
      <c r="M29" t="s">
        <v>379</v>
      </c>
      <c r="N29" t="s">
        <v>380</v>
      </c>
      <c r="O29" t="s">
        <v>381</v>
      </c>
      <c r="P29" t="s">
        <v>194</v>
      </c>
      <c r="Q29" t="s">
        <v>120</v>
      </c>
      <c r="R29" t="s">
        <v>121</v>
      </c>
      <c r="S29" t="s">
        <v>186</v>
      </c>
      <c r="T29" t="s">
        <v>123</v>
      </c>
      <c r="U29" t="s">
        <v>124</v>
      </c>
    </row>
    <row r="30" spans="5:21" x14ac:dyDescent="0.35">
      <c r="E30" t="s">
        <v>422</v>
      </c>
      <c r="F30">
        <v>43792001</v>
      </c>
      <c r="G30">
        <v>1</v>
      </c>
      <c r="H30">
        <v>2171.29</v>
      </c>
      <c r="I30">
        <v>3578.27</v>
      </c>
      <c r="J30">
        <v>42928</v>
      </c>
      <c r="K30">
        <v>42938</v>
      </c>
      <c r="L30">
        <v>10</v>
      </c>
      <c r="M30" t="s">
        <v>423</v>
      </c>
      <c r="N30" t="s">
        <v>424</v>
      </c>
      <c r="O30" t="s">
        <v>149</v>
      </c>
      <c r="P30" t="s">
        <v>150</v>
      </c>
      <c r="Q30" t="s">
        <v>120</v>
      </c>
      <c r="R30" t="s">
        <v>121</v>
      </c>
      <c r="S30" t="s">
        <v>169</v>
      </c>
      <c r="T30" t="s">
        <v>123</v>
      </c>
      <c r="U30" t="s">
        <v>124</v>
      </c>
    </row>
    <row r="31" spans="5:21" x14ac:dyDescent="0.35">
      <c r="E31" t="s">
        <v>432</v>
      </c>
      <c r="F31">
        <v>43796001</v>
      </c>
      <c r="G31">
        <v>1</v>
      </c>
      <c r="H31">
        <v>413.15</v>
      </c>
      <c r="I31">
        <v>699.1</v>
      </c>
      <c r="J31">
        <v>42929</v>
      </c>
      <c r="K31">
        <v>42939</v>
      </c>
      <c r="L31">
        <v>10</v>
      </c>
      <c r="M31" t="s">
        <v>433</v>
      </c>
      <c r="N31" t="s">
        <v>434</v>
      </c>
      <c r="O31" t="s">
        <v>435</v>
      </c>
      <c r="P31" t="s">
        <v>129</v>
      </c>
      <c r="Q31" t="s">
        <v>120</v>
      </c>
      <c r="R31" t="s">
        <v>121</v>
      </c>
      <c r="S31" t="s">
        <v>436</v>
      </c>
      <c r="T31" t="s">
        <v>144</v>
      </c>
      <c r="U31" t="s">
        <v>145</v>
      </c>
    </row>
    <row r="32" spans="5:21" x14ac:dyDescent="0.35">
      <c r="E32" t="s">
        <v>139</v>
      </c>
      <c r="F32">
        <v>43700001</v>
      </c>
      <c r="G32">
        <v>1</v>
      </c>
      <c r="H32">
        <v>413.15</v>
      </c>
      <c r="I32">
        <v>699.1</v>
      </c>
      <c r="J32">
        <v>42917</v>
      </c>
      <c r="K32">
        <v>42926</v>
      </c>
      <c r="L32">
        <v>9</v>
      </c>
      <c r="M32" t="s">
        <v>140</v>
      </c>
      <c r="N32" t="s">
        <v>141</v>
      </c>
      <c r="O32" t="s">
        <v>142</v>
      </c>
      <c r="P32" t="s">
        <v>138</v>
      </c>
      <c r="Q32" t="s">
        <v>120</v>
      </c>
      <c r="R32" t="s">
        <v>121</v>
      </c>
      <c r="S32" t="s">
        <v>143</v>
      </c>
      <c r="T32" t="s">
        <v>144</v>
      </c>
      <c r="U32" t="s">
        <v>145</v>
      </c>
    </row>
    <row r="33" spans="5:21" x14ac:dyDescent="0.35">
      <c r="E33" t="s">
        <v>223</v>
      </c>
      <c r="F33">
        <v>43722001</v>
      </c>
      <c r="G33">
        <v>1</v>
      </c>
      <c r="H33">
        <v>2171.29</v>
      </c>
      <c r="I33">
        <v>3578.27</v>
      </c>
      <c r="J33">
        <v>42920</v>
      </c>
      <c r="K33">
        <v>42929</v>
      </c>
      <c r="L33">
        <v>9</v>
      </c>
      <c r="M33" t="s">
        <v>224</v>
      </c>
      <c r="N33" t="s">
        <v>225</v>
      </c>
      <c r="O33" t="s">
        <v>176</v>
      </c>
      <c r="P33" t="s">
        <v>177</v>
      </c>
      <c r="Q33" t="s">
        <v>120</v>
      </c>
      <c r="R33" t="s">
        <v>121</v>
      </c>
      <c r="S33" t="s">
        <v>169</v>
      </c>
      <c r="T33" t="s">
        <v>123</v>
      </c>
      <c r="U33" t="s">
        <v>124</v>
      </c>
    </row>
    <row r="34" spans="5:21" x14ac:dyDescent="0.35">
      <c r="E34" t="s">
        <v>240</v>
      </c>
      <c r="F34">
        <v>43727001</v>
      </c>
      <c r="G34">
        <v>1</v>
      </c>
      <c r="H34">
        <v>2171.29</v>
      </c>
      <c r="I34">
        <v>3578.27</v>
      </c>
      <c r="J34">
        <v>42920</v>
      </c>
      <c r="K34">
        <v>42929</v>
      </c>
      <c r="L34">
        <v>9</v>
      </c>
      <c r="M34" t="s">
        <v>241</v>
      </c>
      <c r="N34" t="s">
        <v>242</v>
      </c>
      <c r="O34" t="s">
        <v>161</v>
      </c>
      <c r="P34" t="s">
        <v>150</v>
      </c>
      <c r="Q34" t="s">
        <v>120</v>
      </c>
      <c r="R34" t="s">
        <v>121</v>
      </c>
      <c r="S34" t="s">
        <v>153</v>
      </c>
      <c r="T34" t="s">
        <v>123</v>
      </c>
      <c r="U34" t="s">
        <v>124</v>
      </c>
    </row>
    <row r="35" spans="5:21" x14ac:dyDescent="0.35">
      <c r="E35" t="s">
        <v>328</v>
      </c>
      <c r="F35">
        <v>43756001</v>
      </c>
      <c r="G35">
        <v>1</v>
      </c>
      <c r="H35">
        <v>413.15</v>
      </c>
      <c r="I35">
        <v>699.1</v>
      </c>
      <c r="J35">
        <v>42924</v>
      </c>
      <c r="K35">
        <v>42933</v>
      </c>
      <c r="L35">
        <v>9</v>
      </c>
      <c r="M35" t="s">
        <v>329</v>
      </c>
      <c r="N35" t="s">
        <v>289</v>
      </c>
      <c r="O35" t="s">
        <v>176</v>
      </c>
      <c r="P35" t="s">
        <v>177</v>
      </c>
      <c r="Q35" t="s">
        <v>120</v>
      </c>
      <c r="R35" t="s">
        <v>121</v>
      </c>
      <c r="S35" t="s">
        <v>229</v>
      </c>
      <c r="T35" t="s">
        <v>144</v>
      </c>
      <c r="U35" t="s">
        <v>145</v>
      </c>
    </row>
    <row r="36" spans="5:21" x14ac:dyDescent="0.35">
      <c r="E36" t="s">
        <v>367</v>
      </c>
      <c r="F36">
        <v>43771001</v>
      </c>
      <c r="G36">
        <v>1</v>
      </c>
      <c r="H36">
        <v>413.15</v>
      </c>
      <c r="I36">
        <v>699.1</v>
      </c>
      <c r="J36">
        <v>42926</v>
      </c>
      <c r="K36">
        <v>42935</v>
      </c>
      <c r="L36">
        <v>9</v>
      </c>
      <c r="M36" t="s">
        <v>368</v>
      </c>
      <c r="N36" t="s">
        <v>369</v>
      </c>
      <c r="O36" t="s">
        <v>142</v>
      </c>
      <c r="P36" t="s">
        <v>138</v>
      </c>
      <c r="Q36" t="s">
        <v>120</v>
      </c>
      <c r="R36" t="s">
        <v>121</v>
      </c>
      <c r="S36" t="s">
        <v>178</v>
      </c>
      <c r="T36" t="s">
        <v>123</v>
      </c>
      <c r="U36" t="s">
        <v>145</v>
      </c>
    </row>
    <row r="37" spans="5:21" x14ac:dyDescent="0.35">
      <c r="E37" t="s">
        <v>394</v>
      </c>
      <c r="F37">
        <v>43781001</v>
      </c>
      <c r="G37">
        <v>1</v>
      </c>
      <c r="H37">
        <v>2171.29</v>
      </c>
      <c r="I37">
        <v>3578.27</v>
      </c>
      <c r="J37">
        <v>42927</v>
      </c>
      <c r="K37">
        <v>42936</v>
      </c>
      <c r="L37">
        <v>9</v>
      </c>
      <c r="M37" t="s">
        <v>395</v>
      </c>
      <c r="N37" t="s">
        <v>292</v>
      </c>
      <c r="O37" t="s">
        <v>204</v>
      </c>
      <c r="P37" t="s">
        <v>150</v>
      </c>
      <c r="Q37" t="s">
        <v>120</v>
      </c>
      <c r="R37" t="s">
        <v>121</v>
      </c>
      <c r="S37" t="s">
        <v>169</v>
      </c>
      <c r="T37" t="s">
        <v>123</v>
      </c>
      <c r="U37" t="s">
        <v>124</v>
      </c>
    </row>
    <row r="38" spans="5:21" x14ac:dyDescent="0.35">
      <c r="E38" t="s">
        <v>183</v>
      </c>
      <c r="F38">
        <v>43710001</v>
      </c>
      <c r="G38">
        <v>1</v>
      </c>
      <c r="H38">
        <v>2171.29</v>
      </c>
      <c r="I38">
        <v>3578.27</v>
      </c>
      <c r="J38">
        <v>42918</v>
      </c>
      <c r="K38">
        <v>42926</v>
      </c>
      <c r="L38">
        <v>8</v>
      </c>
      <c r="M38" t="s">
        <v>184</v>
      </c>
      <c r="N38" t="s">
        <v>185</v>
      </c>
      <c r="O38" t="s">
        <v>149</v>
      </c>
      <c r="P38" t="s">
        <v>150</v>
      </c>
      <c r="Q38" t="s">
        <v>120</v>
      </c>
      <c r="R38" t="s">
        <v>121</v>
      </c>
      <c r="S38" t="s">
        <v>186</v>
      </c>
      <c r="T38" t="s">
        <v>123</v>
      </c>
      <c r="U38" t="s">
        <v>124</v>
      </c>
    </row>
    <row r="39" spans="5:21" x14ac:dyDescent="0.35">
      <c r="E39" t="s">
        <v>201</v>
      </c>
      <c r="F39">
        <v>43715001</v>
      </c>
      <c r="G39">
        <v>1</v>
      </c>
      <c r="H39">
        <v>2171.29</v>
      </c>
      <c r="I39">
        <v>3578.27</v>
      </c>
      <c r="J39">
        <v>42919</v>
      </c>
      <c r="K39">
        <v>42927</v>
      </c>
      <c r="L39">
        <v>8</v>
      </c>
      <c r="M39" t="s">
        <v>202</v>
      </c>
      <c r="N39" t="s">
        <v>203</v>
      </c>
      <c r="O39" t="s">
        <v>204</v>
      </c>
      <c r="P39" t="s">
        <v>150</v>
      </c>
      <c r="Q39" t="s">
        <v>120</v>
      </c>
      <c r="R39" t="s">
        <v>121</v>
      </c>
      <c r="S39" t="s">
        <v>186</v>
      </c>
      <c r="T39" t="s">
        <v>123</v>
      </c>
      <c r="U39" t="s">
        <v>124</v>
      </c>
    </row>
    <row r="40" spans="5:21" x14ac:dyDescent="0.35">
      <c r="E40" t="s">
        <v>230</v>
      </c>
      <c r="F40">
        <v>43724001</v>
      </c>
      <c r="G40">
        <v>1</v>
      </c>
      <c r="H40">
        <v>2171.29</v>
      </c>
      <c r="I40">
        <v>3578.27</v>
      </c>
      <c r="J40">
        <v>42920</v>
      </c>
      <c r="K40">
        <v>42928</v>
      </c>
      <c r="L40">
        <v>8</v>
      </c>
      <c r="M40" t="s">
        <v>231</v>
      </c>
      <c r="N40" t="s">
        <v>232</v>
      </c>
      <c r="O40" t="s">
        <v>204</v>
      </c>
      <c r="P40" t="s">
        <v>150</v>
      </c>
      <c r="Q40" t="s">
        <v>120</v>
      </c>
      <c r="R40" t="s">
        <v>121</v>
      </c>
      <c r="S40" t="s">
        <v>153</v>
      </c>
      <c r="T40" t="s">
        <v>123</v>
      </c>
      <c r="U40" t="s">
        <v>124</v>
      </c>
    </row>
    <row r="41" spans="5:21" x14ac:dyDescent="0.35">
      <c r="E41" t="s">
        <v>237</v>
      </c>
      <c r="F41">
        <v>43726001</v>
      </c>
      <c r="G41">
        <v>1</v>
      </c>
      <c r="H41">
        <v>413.15</v>
      </c>
      <c r="I41">
        <v>699.1</v>
      </c>
      <c r="J41">
        <v>42920</v>
      </c>
      <c r="K41">
        <v>42928</v>
      </c>
      <c r="L41">
        <v>8</v>
      </c>
      <c r="M41" t="s">
        <v>238</v>
      </c>
      <c r="N41" t="s">
        <v>239</v>
      </c>
      <c r="O41" t="s">
        <v>142</v>
      </c>
      <c r="P41" t="s">
        <v>138</v>
      </c>
      <c r="Q41" t="s">
        <v>120</v>
      </c>
      <c r="R41" t="s">
        <v>121</v>
      </c>
      <c r="S41" t="s">
        <v>229</v>
      </c>
      <c r="T41" t="s">
        <v>144</v>
      </c>
      <c r="U41" t="s">
        <v>145</v>
      </c>
    </row>
    <row r="42" spans="5:21" x14ac:dyDescent="0.35">
      <c r="E42" t="s">
        <v>252</v>
      </c>
      <c r="F42">
        <v>43731001</v>
      </c>
      <c r="G42">
        <v>1</v>
      </c>
      <c r="H42">
        <v>2171.29</v>
      </c>
      <c r="I42">
        <v>3578.27</v>
      </c>
      <c r="J42">
        <v>42921</v>
      </c>
      <c r="K42">
        <v>42929</v>
      </c>
      <c r="L42">
        <v>8</v>
      </c>
      <c r="M42" t="s">
        <v>253</v>
      </c>
      <c r="N42" t="s">
        <v>254</v>
      </c>
      <c r="O42" t="s">
        <v>149</v>
      </c>
      <c r="P42" t="s">
        <v>150</v>
      </c>
      <c r="Q42" t="s">
        <v>120</v>
      </c>
      <c r="R42" t="s">
        <v>121</v>
      </c>
      <c r="S42" t="s">
        <v>186</v>
      </c>
      <c r="T42" t="s">
        <v>123</v>
      </c>
      <c r="U42" t="s">
        <v>124</v>
      </c>
    </row>
    <row r="43" spans="5:21" x14ac:dyDescent="0.35">
      <c r="E43" t="s">
        <v>274</v>
      </c>
      <c r="F43">
        <v>43738001</v>
      </c>
      <c r="G43">
        <v>1</v>
      </c>
      <c r="H43">
        <v>2171.29</v>
      </c>
      <c r="I43">
        <v>3578.27</v>
      </c>
      <c r="J43">
        <v>42922</v>
      </c>
      <c r="K43">
        <v>42930</v>
      </c>
      <c r="L43">
        <v>8</v>
      </c>
      <c r="M43" t="s">
        <v>275</v>
      </c>
      <c r="N43" t="s">
        <v>276</v>
      </c>
      <c r="O43" t="s">
        <v>277</v>
      </c>
      <c r="P43" t="s">
        <v>129</v>
      </c>
      <c r="Q43" t="s">
        <v>120</v>
      </c>
      <c r="R43" t="s">
        <v>121</v>
      </c>
      <c r="S43" t="s">
        <v>169</v>
      </c>
      <c r="T43" t="s">
        <v>123</v>
      </c>
      <c r="U43" t="s">
        <v>124</v>
      </c>
    </row>
    <row r="44" spans="5:21" x14ac:dyDescent="0.35">
      <c r="E44" t="s">
        <v>299</v>
      </c>
      <c r="F44">
        <v>43746001</v>
      </c>
      <c r="G44">
        <v>1</v>
      </c>
      <c r="H44">
        <v>2171.29</v>
      </c>
      <c r="I44">
        <v>3578.27</v>
      </c>
      <c r="J44">
        <v>42923</v>
      </c>
      <c r="K44">
        <v>42931</v>
      </c>
      <c r="L44">
        <v>8</v>
      </c>
      <c r="M44" t="s">
        <v>300</v>
      </c>
      <c r="N44" t="s">
        <v>156</v>
      </c>
      <c r="O44" t="s">
        <v>157</v>
      </c>
      <c r="P44" t="s">
        <v>150</v>
      </c>
      <c r="Q44" t="s">
        <v>120</v>
      </c>
      <c r="R44" t="s">
        <v>121</v>
      </c>
      <c r="S44" t="s">
        <v>169</v>
      </c>
      <c r="T44" t="s">
        <v>123</v>
      </c>
      <c r="U44" t="s">
        <v>124</v>
      </c>
    </row>
    <row r="45" spans="5:21" x14ac:dyDescent="0.35">
      <c r="E45" t="s">
        <v>310</v>
      </c>
      <c r="F45">
        <v>43750001</v>
      </c>
      <c r="G45">
        <v>1</v>
      </c>
      <c r="H45">
        <v>2171.29</v>
      </c>
      <c r="I45">
        <v>3578.27</v>
      </c>
      <c r="J45">
        <v>42923</v>
      </c>
      <c r="K45">
        <v>42931</v>
      </c>
      <c r="L45">
        <v>8</v>
      </c>
      <c r="M45" t="s">
        <v>311</v>
      </c>
      <c r="N45" t="s">
        <v>312</v>
      </c>
      <c r="O45" t="s">
        <v>313</v>
      </c>
      <c r="P45" t="s">
        <v>129</v>
      </c>
      <c r="Q45" t="s">
        <v>120</v>
      </c>
      <c r="R45" t="s">
        <v>121</v>
      </c>
      <c r="S45" t="s">
        <v>153</v>
      </c>
      <c r="T45" t="s">
        <v>123</v>
      </c>
      <c r="U45" t="s">
        <v>124</v>
      </c>
    </row>
    <row r="46" spans="5:21" x14ac:dyDescent="0.35">
      <c r="E46" t="s">
        <v>322</v>
      </c>
      <c r="F46">
        <v>43754001</v>
      </c>
      <c r="G46">
        <v>1</v>
      </c>
      <c r="H46">
        <v>2171.29</v>
      </c>
      <c r="I46">
        <v>3578.27</v>
      </c>
      <c r="J46">
        <v>42924</v>
      </c>
      <c r="K46">
        <v>42932</v>
      </c>
      <c r="L46">
        <v>8</v>
      </c>
      <c r="M46" t="s">
        <v>323</v>
      </c>
      <c r="N46" t="s">
        <v>324</v>
      </c>
      <c r="O46" t="s">
        <v>213</v>
      </c>
      <c r="P46" t="s">
        <v>138</v>
      </c>
      <c r="Q46" t="s">
        <v>120</v>
      </c>
      <c r="R46" t="s">
        <v>121</v>
      </c>
      <c r="S46" t="s">
        <v>169</v>
      </c>
      <c r="T46" t="s">
        <v>123</v>
      </c>
      <c r="U46" t="s">
        <v>124</v>
      </c>
    </row>
    <row r="47" spans="5:21" x14ac:dyDescent="0.35">
      <c r="E47" t="s">
        <v>391</v>
      </c>
      <c r="F47">
        <v>43780001</v>
      </c>
      <c r="G47">
        <v>1</v>
      </c>
      <c r="H47">
        <v>2171.29</v>
      </c>
      <c r="I47">
        <v>3578.27</v>
      </c>
      <c r="J47">
        <v>42927</v>
      </c>
      <c r="K47">
        <v>42935</v>
      </c>
      <c r="L47">
        <v>8</v>
      </c>
      <c r="M47" t="s">
        <v>392</v>
      </c>
      <c r="N47" t="s">
        <v>393</v>
      </c>
      <c r="O47" t="s">
        <v>277</v>
      </c>
      <c r="P47" t="s">
        <v>129</v>
      </c>
      <c r="Q47" t="s">
        <v>120</v>
      </c>
      <c r="R47" t="s">
        <v>121</v>
      </c>
      <c r="S47" t="s">
        <v>153</v>
      </c>
      <c r="T47" t="s">
        <v>123</v>
      </c>
      <c r="U47" t="s">
        <v>124</v>
      </c>
    </row>
    <row r="48" spans="5:21" x14ac:dyDescent="0.35">
      <c r="E48" t="s">
        <v>170</v>
      </c>
      <c r="F48">
        <v>43707001</v>
      </c>
      <c r="G48">
        <v>1</v>
      </c>
      <c r="H48">
        <v>2171.29</v>
      </c>
      <c r="I48">
        <v>3578.27</v>
      </c>
      <c r="J48">
        <v>42918</v>
      </c>
      <c r="K48">
        <v>42925</v>
      </c>
      <c r="L48">
        <v>7</v>
      </c>
      <c r="M48" t="s">
        <v>171</v>
      </c>
      <c r="N48" t="s">
        <v>172</v>
      </c>
      <c r="O48" t="s">
        <v>142</v>
      </c>
      <c r="P48" t="s">
        <v>138</v>
      </c>
      <c r="Q48" t="s">
        <v>120</v>
      </c>
      <c r="R48" t="s">
        <v>121</v>
      </c>
      <c r="S48" t="s">
        <v>169</v>
      </c>
      <c r="T48" t="s">
        <v>123</v>
      </c>
      <c r="U48" t="s">
        <v>124</v>
      </c>
    </row>
    <row r="49" spans="5:21" x14ac:dyDescent="0.35">
      <c r="E49" t="s">
        <v>217</v>
      </c>
      <c r="F49">
        <v>43720001</v>
      </c>
      <c r="G49">
        <v>1</v>
      </c>
      <c r="H49">
        <v>2171.29</v>
      </c>
      <c r="I49">
        <v>3578.27</v>
      </c>
      <c r="J49">
        <v>42919</v>
      </c>
      <c r="K49">
        <v>42926</v>
      </c>
      <c r="L49">
        <v>7</v>
      </c>
      <c r="M49" t="s">
        <v>218</v>
      </c>
      <c r="N49" t="s">
        <v>219</v>
      </c>
      <c r="O49" t="s">
        <v>220</v>
      </c>
      <c r="P49" t="s">
        <v>194</v>
      </c>
      <c r="Q49" t="s">
        <v>120</v>
      </c>
      <c r="R49" t="s">
        <v>121</v>
      </c>
      <c r="S49" t="s">
        <v>153</v>
      </c>
      <c r="T49" t="s">
        <v>123</v>
      </c>
      <c r="U49" t="s">
        <v>124</v>
      </c>
    </row>
    <row r="50" spans="5:21" x14ac:dyDescent="0.35">
      <c r="E50" t="s">
        <v>271</v>
      </c>
      <c r="F50">
        <v>43737001</v>
      </c>
      <c r="G50">
        <v>1</v>
      </c>
      <c r="H50">
        <v>2171.29</v>
      </c>
      <c r="I50">
        <v>3578.27</v>
      </c>
      <c r="J50">
        <v>42922</v>
      </c>
      <c r="K50">
        <v>42929</v>
      </c>
      <c r="L50">
        <v>7</v>
      </c>
      <c r="M50" t="s">
        <v>272</v>
      </c>
      <c r="N50" t="s">
        <v>273</v>
      </c>
      <c r="O50" t="s">
        <v>193</v>
      </c>
      <c r="P50" t="s">
        <v>194</v>
      </c>
      <c r="Q50" t="s">
        <v>120</v>
      </c>
      <c r="R50" t="s">
        <v>121</v>
      </c>
      <c r="S50" t="s">
        <v>153</v>
      </c>
      <c r="T50" t="s">
        <v>123</v>
      </c>
      <c r="U50" t="s">
        <v>124</v>
      </c>
    </row>
    <row r="51" spans="5:21" x14ac:dyDescent="0.35">
      <c r="E51" t="s">
        <v>278</v>
      </c>
      <c r="F51">
        <v>43739001</v>
      </c>
      <c r="G51">
        <v>1</v>
      </c>
      <c r="H51">
        <v>2171.29</v>
      </c>
      <c r="I51">
        <v>3578.27</v>
      </c>
      <c r="J51">
        <v>42922</v>
      </c>
      <c r="K51">
        <v>42929</v>
      </c>
      <c r="L51">
        <v>7</v>
      </c>
      <c r="M51" t="s">
        <v>279</v>
      </c>
      <c r="N51" t="s">
        <v>280</v>
      </c>
      <c r="O51" t="s">
        <v>176</v>
      </c>
      <c r="P51" t="s">
        <v>177</v>
      </c>
      <c r="Q51" t="s">
        <v>120</v>
      </c>
      <c r="R51" t="s">
        <v>121</v>
      </c>
      <c r="S51" t="s">
        <v>122</v>
      </c>
      <c r="T51" t="s">
        <v>123</v>
      </c>
      <c r="U51" t="s">
        <v>124</v>
      </c>
    </row>
    <row r="52" spans="5:21" x14ac:dyDescent="0.35">
      <c r="E52" t="s">
        <v>304</v>
      </c>
      <c r="F52">
        <v>43748001</v>
      </c>
      <c r="G52">
        <v>1</v>
      </c>
      <c r="H52">
        <v>2171.29</v>
      </c>
      <c r="I52">
        <v>3578.27</v>
      </c>
      <c r="J52">
        <v>42923</v>
      </c>
      <c r="K52">
        <v>42930</v>
      </c>
      <c r="L52">
        <v>7</v>
      </c>
      <c r="M52" t="s">
        <v>305</v>
      </c>
      <c r="N52" t="s">
        <v>306</v>
      </c>
      <c r="O52" t="s">
        <v>137</v>
      </c>
      <c r="P52" t="s">
        <v>138</v>
      </c>
      <c r="Q52" t="s">
        <v>120</v>
      </c>
      <c r="R52" t="s">
        <v>121</v>
      </c>
      <c r="S52" t="s">
        <v>182</v>
      </c>
      <c r="T52" t="s">
        <v>123</v>
      </c>
      <c r="U52" t="s">
        <v>124</v>
      </c>
    </row>
    <row r="53" spans="5:21" x14ac:dyDescent="0.35">
      <c r="E53" t="s">
        <v>347</v>
      </c>
      <c r="F53">
        <v>43763001</v>
      </c>
      <c r="G53">
        <v>1</v>
      </c>
      <c r="H53">
        <v>2171.29</v>
      </c>
      <c r="I53">
        <v>3578.27</v>
      </c>
      <c r="J53">
        <v>42925</v>
      </c>
      <c r="K53">
        <v>42932</v>
      </c>
      <c r="L53">
        <v>7</v>
      </c>
      <c r="M53" t="s">
        <v>348</v>
      </c>
      <c r="N53" t="s">
        <v>207</v>
      </c>
      <c r="O53" t="s">
        <v>149</v>
      </c>
      <c r="P53" t="s">
        <v>150</v>
      </c>
      <c r="Q53" t="s">
        <v>120</v>
      </c>
      <c r="R53" t="s">
        <v>121</v>
      </c>
      <c r="S53" t="s">
        <v>182</v>
      </c>
      <c r="T53" t="s">
        <v>123</v>
      </c>
      <c r="U53" t="s">
        <v>124</v>
      </c>
    </row>
    <row r="54" spans="5:21" x14ac:dyDescent="0.35">
      <c r="E54" t="s">
        <v>353</v>
      </c>
      <c r="F54">
        <v>43766001</v>
      </c>
      <c r="G54">
        <v>1</v>
      </c>
      <c r="H54">
        <v>2171.29</v>
      </c>
      <c r="I54">
        <v>3578.27</v>
      </c>
      <c r="J54">
        <v>42925</v>
      </c>
      <c r="K54">
        <v>42932</v>
      </c>
      <c r="L54">
        <v>7</v>
      </c>
      <c r="M54" t="s">
        <v>354</v>
      </c>
      <c r="N54" t="s">
        <v>355</v>
      </c>
      <c r="O54" t="s">
        <v>204</v>
      </c>
      <c r="P54" t="s">
        <v>150</v>
      </c>
      <c r="Q54" t="s">
        <v>120</v>
      </c>
      <c r="R54" t="s">
        <v>121</v>
      </c>
      <c r="S54" t="s">
        <v>182</v>
      </c>
      <c r="T54" t="s">
        <v>123</v>
      </c>
      <c r="U54" t="s">
        <v>124</v>
      </c>
    </row>
    <row r="55" spans="5:21" x14ac:dyDescent="0.35">
      <c r="E55" t="s">
        <v>372</v>
      </c>
      <c r="F55">
        <v>43773001</v>
      </c>
      <c r="G55">
        <v>1</v>
      </c>
      <c r="H55">
        <v>2171.29</v>
      </c>
      <c r="I55">
        <v>3578.27</v>
      </c>
      <c r="J55">
        <v>42926</v>
      </c>
      <c r="K55">
        <v>42933</v>
      </c>
      <c r="L55">
        <v>7</v>
      </c>
      <c r="M55" t="s">
        <v>373</v>
      </c>
      <c r="N55" t="s">
        <v>332</v>
      </c>
      <c r="O55" t="s">
        <v>204</v>
      </c>
      <c r="P55" t="s">
        <v>150</v>
      </c>
      <c r="Q55" t="s">
        <v>120</v>
      </c>
      <c r="R55" t="s">
        <v>121</v>
      </c>
      <c r="S55" t="s">
        <v>186</v>
      </c>
      <c r="T55" t="s">
        <v>123</v>
      </c>
      <c r="U55" t="s">
        <v>124</v>
      </c>
    </row>
    <row r="56" spans="5:21" x14ac:dyDescent="0.35">
      <c r="E56" t="s">
        <v>376</v>
      </c>
      <c r="F56">
        <v>43775001</v>
      </c>
      <c r="G56">
        <v>1</v>
      </c>
      <c r="H56">
        <v>1912.15</v>
      </c>
      <c r="I56">
        <v>3399.99</v>
      </c>
      <c r="J56">
        <v>42926</v>
      </c>
      <c r="K56">
        <v>42933</v>
      </c>
      <c r="L56">
        <v>7</v>
      </c>
      <c r="M56" t="s">
        <v>377</v>
      </c>
      <c r="N56" t="s">
        <v>292</v>
      </c>
      <c r="O56" t="s">
        <v>204</v>
      </c>
      <c r="P56" t="s">
        <v>150</v>
      </c>
      <c r="Q56" t="s">
        <v>120</v>
      </c>
      <c r="R56" t="s">
        <v>130</v>
      </c>
      <c r="S56" t="s">
        <v>293</v>
      </c>
      <c r="T56" t="s">
        <v>132</v>
      </c>
      <c r="U56" t="s">
        <v>133</v>
      </c>
    </row>
    <row r="57" spans="5:21" x14ac:dyDescent="0.35">
      <c r="E57" t="s">
        <v>387</v>
      </c>
      <c r="F57">
        <v>43779001</v>
      </c>
      <c r="G57">
        <v>1</v>
      </c>
      <c r="H57">
        <v>413.15</v>
      </c>
      <c r="I57">
        <v>699.1</v>
      </c>
      <c r="J57">
        <v>42926</v>
      </c>
      <c r="K57">
        <v>42933</v>
      </c>
      <c r="L57">
        <v>7</v>
      </c>
      <c r="M57" t="s">
        <v>388</v>
      </c>
      <c r="N57" t="s">
        <v>389</v>
      </c>
      <c r="O57" t="s">
        <v>149</v>
      </c>
      <c r="P57" t="s">
        <v>150</v>
      </c>
      <c r="Q57" t="s">
        <v>120</v>
      </c>
      <c r="R57" t="s">
        <v>121</v>
      </c>
      <c r="S57" t="s">
        <v>390</v>
      </c>
      <c r="T57" t="s">
        <v>123</v>
      </c>
      <c r="U57" t="s">
        <v>145</v>
      </c>
    </row>
    <row r="58" spans="5:21" x14ac:dyDescent="0.35">
      <c r="E58" t="s">
        <v>405</v>
      </c>
      <c r="F58">
        <v>43785001</v>
      </c>
      <c r="G58">
        <v>1</v>
      </c>
      <c r="H58">
        <v>2171.29</v>
      </c>
      <c r="I58">
        <v>3578.27</v>
      </c>
      <c r="J58">
        <v>42928</v>
      </c>
      <c r="K58">
        <v>42935</v>
      </c>
      <c r="L58">
        <v>7</v>
      </c>
      <c r="M58" t="s">
        <v>406</v>
      </c>
      <c r="N58" t="s">
        <v>312</v>
      </c>
      <c r="O58" t="s">
        <v>313</v>
      </c>
      <c r="P58" t="s">
        <v>129</v>
      </c>
      <c r="Q58" t="s">
        <v>120</v>
      </c>
      <c r="R58" t="s">
        <v>121</v>
      </c>
      <c r="S58" t="s">
        <v>153</v>
      </c>
      <c r="T58" t="s">
        <v>123</v>
      </c>
      <c r="U58" t="s">
        <v>124</v>
      </c>
    </row>
    <row r="59" spans="5:21" x14ac:dyDescent="0.35">
      <c r="E59" t="s">
        <v>154</v>
      </c>
      <c r="F59">
        <v>43703001</v>
      </c>
      <c r="G59">
        <v>1</v>
      </c>
      <c r="H59">
        <v>2171.29</v>
      </c>
      <c r="I59">
        <v>3578.27</v>
      </c>
      <c r="J59">
        <v>42917</v>
      </c>
      <c r="K59">
        <v>42923</v>
      </c>
      <c r="L59">
        <v>6</v>
      </c>
      <c r="M59" t="s">
        <v>155</v>
      </c>
      <c r="N59" t="s">
        <v>156</v>
      </c>
      <c r="O59" t="s">
        <v>157</v>
      </c>
      <c r="P59" t="s">
        <v>150</v>
      </c>
      <c r="Q59" t="s">
        <v>120</v>
      </c>
      <c r="R59" t="s">
        <v>121</v>
      </c>
      <c r="S59" t="s">
        <v>122</v>
      </c>
      <c r="T59" t="s">
        <v>123</v>
      </c>
      <c r="U59" t="s">
        <v>124</v>
      </c>
    </row>
    <row r="60" spans="5:21" x14ac:dyDescent="0.35">
      <c r="E60" t="s">
        <v>166</v>
      </c>
      <c r="F60">
        <v>43706001</v>
      </c>
      <c r="G60">
        <v>1</v>
      </c>
      <c r="H60">
        <v>2171.29</v>
      </c>
      <c r="I60">
        <v>3578.27</v>
      </c>
      <c r="J60">
        <v>42918</v>
      </c>
      <c r="K60">
        <v>42924</v>
      </c>
      <c r="L60">
        <v>6</v>
      </c>
      <c r="M60" t="s">
        <v>167</v>
      </c>
      <c r="N60" t="s">
        <v>168</v>
      </c>
      <c r="O60" t="s">
        <v>142</v>
      </c>
      <c r="P60" t="s">
        <v>138</v>
      </c>
      <c r="Q60" t="s">
        <v>120</v>
      </c>
      <c r="R60" t="s">
        <v>121</v>
      </c>
      <c r="S60" t="s">
        <v>169</v>
      </c>
      <c r="T60" t="s">
        <v>123</v>
      </c>
      <c r="U60" t="s">
        <v>124</v>
      </c>
    </row>
    <row r="61" spans="5:21" x14ac:dyDescent="0.35">
      <c r="E61" t="s">
        <v>190</v>
      </c>
      <c r="F61">
        <v>43712001</v>
      </c>
      <c r="G61">
        <v>1</v>
      </c>
      <c r="H61">
        <v>2171.29</v>
      </c>
      <c r="I61">
        <v>3578.27</v>
      </c>
      <c r="J61">
        <v>42918</v>
      </c>
      <c r="K61">
        <v>42924</v>
      </c>
      <c r="L61">
        <v>6</v>
      </c>
      <c r="M61" t="s">
        <v>191</v>
      </c>
      <c r="N61" t="s">
        <v>192</v>
      </c>
      <c r="O61" t="s">
        <v>193</v>
      </c>
      <c r="P61" t="s">
        <v>194</v>
      </c>
      <c r="Q61" t="s">
        <v>120</v>
      </c>
      <c r="R61" t="s">
        <v>121</v>
      </c>
      <c r="S61" t="s">
        <v>153</v>
      </c>
      <c r="T61" t="s">
        <v>123</v>
      </c>
      <c r="U61" t="s">
        <v>124</v>
      </c>
    </row>
    <row r="62" spans="5:21" x14ac:dyDescent="0.35">
      <c r="E62" t="s">
        <v>195</v>
      </c>
      <c r="F62">
        <v>43713001</v>
      </c>
      <c r="G62">
        <v>1</v>
      </c>
      <c r="H62">
        <v>2171.29</v>
      </c>
      <c r="I62">
        <v>3578.27</v>
      </c>
      <c r="J62">
        <v>42919</v>
      </c>
      <c r="K62">
        <v>42925</v>
      </c>
      <c r="L62">
        <v>6</v>
      </c>
      <c r="M62" t="s">
        <v>196</v>
      </c>
      <c r="N62" t="s">
        <v>197</v>
      </c>
      <c r="O62" t="s">
        <v>142</v>
      </c>
      <c r="P62" t="s">
        <v>138</v>
      </c>
      <c r="Q62" t="s">
        <v>120</v>
      </c>
      <c r="R62" t="s">
        <v>121</v>
      </c>
      <c r="S62" t="s">
        <v>122</v>
      </c>
      <c r="T62" t="s">
        <v>123</v>
      </c>
      <c r="U62" t="s">
        <v>124</v>
      </c>
    </row>
    <row r="63" spans="5:21" x14ac:dyDescent="0.35">
      <c r="E63" t="s">
        <v>205</v>
      </c>
      <c r="F63">
        <v>43716001</v>
      </c>
      <c r="G63">
        <v>1</v>
      </c>
      <c r="H63">
        <v>2171.29</v>
      </c>
      <c r="I63">
        <v>3578.27</v>
      </c>
      <c r="J63">
        <v>42919</v>
      </c>
      <c r="K63">
        <v>42925</v>
      </c>
      <c r="L63">
        <v>6</v>
      </c>
      <c r="M63" t="s">
        <v>206</v>
      </c>
      <c r="N63" t="s">
        <v>207</v>
      </c>
      <c r="O63" t="s">
        <v>149</v>
      </c>
      <c r="P63" t="s">
        <v>150</v>
      </c>
      <c r="Q63" t="s">
        <v>120</v>
      </c>
      <c r="R63" t="s">
        <v>121</v>
      </c>
      <c r="S63" t="s">
        <v>153</v>
      </c>
      <c r="T63" t="s">
        <v>123</v>
      </c>
      <c r="U63" t="s">
        <v>124</v>
      </c>
    </row>
    <row r="64" spans="5:21" x14ac:dyDescent="0.35">
      <c r="E64" t="s">
        <v>221</v>
      </c>
      <c r="F64">
        <v>43721001</v>
      </c>
      <c r="G64">
        <v>1</v>
      </c>
      <c r="H64">
        <v>2171.29</v>
      </c>
      <c r="I64">
        <v>3578.27</v>
      </c>
      <c r="J64">
        <v>42919</v>
      </c>
      <c r="K64">
        <v>42925</v>
      </c>
      <c r="L64">
        <v>6</v>
      </c>
      <c r="M64" t="s">
        <v>222</v>
      </c>
      <c r="N64" t="s">
        <v>200</v>
      </c>
      <c r="O64" t="s">
        <v>176</v>
      </c>
      <c r="P64" t="s">
        <v>177</v>
      </c>
      <c r="Q64" t="s">
        <v>120</v>
      </c>
      <c r="R64" t="s">
        <v>121</v>
      </c>
      <c r="S64" t="s">
        <v>122</v>
      </c>
      <c r="T64" t="s">
        <v>123</v>
      </c>
      <c r="U64" t="s">
        <v>124</v>
      </c>
    </row>
    <row r="65" spans="5:21" x14ac:dyDescent="0.35">
      <c r="E65" t="s">
        <v>226</v>
      </c>
      <c r="F65">
        <v>43723001</v>
      </c>
      <c r="G65">
        <v>1</v>
      </c>
      <c r="H65">
        <v>413.15</v>
      </c>
      <c r="I65">
        <v>699.1</v>
      </c>
      <c r="J65">
        <v>42920</v>
      </c>
      <c r="K65">
        <v>42926</v>
      </c>
      <c r="L65">
        <v>6</v>
      </c>
      <c r="M65" t="s">
        <v>227</v>
      </c>
      <c r="N65" t="s">
        <v>228</v>
      </c>
      <c r="O65" t="s">
        <v>213</v>
      </c>
      <c r="P65" t="s">
        <v>138</v>
      </c>
      <c r="Q65" t="s">
        <v>120</v>
      </c>
      <c r="R65" t="s">
        <v>121</v>
      </c>
      <c r="S65" t="s">
        <v>229</v>
      </c>
      <c r="T65" t="s">
        <v>144</v>
      </c>
      <c r="U65" t="s">
        <v>145</v>
      </c>
    </row>
    <row r="66" spans="5:21" x14ac:dyDescent="0.35">
      <c r="E66" t="s">
        <v>284</v>
      </c>
      <c r="F66">
        <v>43741001</v>
      </c>
      <c r="G66">
        <v>1</v>
      </c>
      <c r="H66">
        <v>2171.29</v>
      </c>
      <c r="I66">
        <v>3578.27</v>
      </c>
      <c r="J66">
        <v>42922</v>
      </c>
      <c r="K66">
        <v>42928</v>
      </c>
      <c r="L66">
        <v>6</v>
      </c>
      <c r="M66" t="s">
        <v>285</v>
      </c>
      <c r="N66" t="s">
        <v>286</v>
      </c>
      <c r="O66" t="s">
        <v>213</v>
      </c>
      <c r="P66" t="s">
        <v>138</v>
      </c>
      <c r="Q66" t="s">
        <v>120</v>
      </c>
      <c r="R66" t="s">
        <v>121</v>
      </c>
      <c r="S66" t="s">
        <v>122</v>
      </c>
      <c r="T66" t="s">
        <v>123</v>
      </c>
      <c r="U66" t="s">
        <v>124</v>
      </c>
    </row>
    <row r="67" spans="5:21" x14ac:dyDescent="0.35">
      <c r="E67" t="s">
        <v>325</v>
      </c>
      <c r="F67">
        <v>43755001</v>
      </c>
      <c r="G67">
        <v>1</v>
      </c>
      <c r="H67">
        <v>2171.29</v>
      </c>
      <c r="I67">
        <v>3578.27</v>
      </c>
      <c r="J67">
        <v>42924</v>
      </c>
      <c r="K67">
        <v>42930</v>
      </c>
      <c r="L67">
        <v>6</v>
      </c>
      <c r="M67" t="s">
        <v>326</v>
      </c>
      <c r="N67" t="s">
        <v>327</v>
      </c>
      <c r="O67" t="s">
        <v>142</v>
      </c>
      <c r="P67" t="s">
        <v>138</v>
      </c>
      <c r="Q67" t="s">
        <v>120</v>
      </c>
      <c r="R67" t="s">
        <v>121</v>
      </c>
      <c r="S67" t="s">
        <v>153</v>
      </c>
      <c r="T67" t="s">
        <v>123</v>
      </c>
      <c r="U67" t="s">
        <v>124</v>
      </c>
    </row>
    <row r="68" spans="5:21" x14ac:dyDescent="0.35">
      <c r="E68" t="s">
        <v>374</v>
      </c>
      <c r="F68">
        <v>43774001</v>
      </c>
      <c r="G68">
        <v>1</v>
      </c>
      <c r="H68">
        <v>2171.29</v>
      </c>
      <c r="I68">
        <v>3578.27</v>
      </c>
      <c r="J68">
        <v>42926</v>
      </c>
      <c r="K68">
        <v>42932</v>
      </c>
      <c r="L68">
        <v>6</v>
      </c>
      <c r="M68" t="s">
        <v>375</v>
      </c>
      <c r="N68" t="s">
        <v>207</v>
      </c>
      <c r="O68" t="s">
        <v>149</v>
      </c>
      <c r="P68" t="s">
        <v>150</v>
      </c>
      <c r="Q68" t="s">
        <v>120</v>
      </c>
      <c r="R68" t="s">
        <v>121</v>
      </c>
      <c r="S68" t="s">
        <v>182</v>
      </c>
      <c r="T68" t="s">
        <v>123</v>
      </c>
      <c r="U68" t="s">
        <v>124</v>
      </c>
    </row>
    <row r="69" spans="5:21" x14ac:dyDescent="0.35">
      <c r="E69" t="s">
        <v>402</v>
      </c>
      <c r="F69">
        <v>43784001</v>
      </c>
      <c r="G69">
        <v>1</v>
      </c>
      <c r="H69">
        <v>2171.29</v>
      </c>
      <c r="I69">
        <v>3578.27</v>
      </c>
      <c r="J69">
        <v>42928</v>
      </c>
      <c r="K69">
        <v>42934</v>
      </c>
      <c r="L69">
        <v>6</v>
      </c>
      <c r="M69" t="s">
        <v>403</v>
      </c>
      <c r="N69" t="s">
        <v>404</v>
      </c>
      <c r="O69" t="s">
        <v>142</v>
      </c>
      <c r="P69" t="s">
        <v>138</v>
      </c>
      <c r="Q69" t="s">
        <v>120</v>
      </c>
      <c r="R69" t="s">
        <v>121</v>
      </c>
      <c r="S69" t="s">
        <v>122</v>
      </c>
      <c r="T69" t="s">
        <v>123</v>
      </c>
      <c r="U69" t="s">
        <v>124</v>
      </c>
    </row>
    <row r="70" spans="5:21" x14ac:dyDescent="0.35">
      <c r="E70" t="s">
        <v>409</v>
      </c>
      <c r="F70">
        <v>43787001</v>
      </c>
      <c r="G70">
        <v>1</v>
      </c>
      <c r="H70">
        <v>1912.15</v>
      </c>
      <c r="I70">
        <v>3399.99</v>
      </c>
      <c r="J70">
        <v>42928</v>
      </c>
      <c r="K70">
        <v>42934</v>
      </c>
      <c r="L70">
        <v>6</v>
      </c>
      <c r="M70" t="s">
        <v>410</v>
      </c>
      <c r="N70" t="s">
        <v>411</v>
      </c>
      <c r="O70" t="s">
        <v>236</v>
      </c>
      <c r="P70" t="s">
        <v>194</v>
      </c>
      <c r="Q70" t="s">
        <v>120</v>
      </c>
      <c r="R70" t="s">
        <v>130</v>
      </c>
      <c r="S70" t="s">
        <v>165</v>
      </c>
      <c r="T70" t="s">
        <v>132</v>
      </c>
      <c r="U70" t="s">
        <v>133</v>
      </c>
    </row>
    <row r="71" spans="5:21" x14ac:dyDescent="0.35">
      <c r="E71" t="s">
        <v>134</v>
      </c>
      <c r="F71">
        <v>43699001</v>
      </c>
      <c r="G71">
        <v>1</v>
      </c>
      <c r="H71">
        <v>1912.15</v>
      </c>
      <c r="I71">
        <v>3399.99</v>
      </c>
      <c r="J71">
        <v>42917</v>
      </c>
      <c r="K71">
        <v>42922</v>
      </c>
      <c r="L71">
        <v>5</v>
      </c>
      <c r="M71" t="s">
        <v>135</v>
      </c>
      <c r="N71" t="s">
        <v>136</v>
      </c>
      <c r="O71" t="s">
        <v>137</v>
      </c>
      <c r="P71" t="s">
        <v>138</v>
      </c>
      <c r="Q71" t="s">
        <v>120</v>
      </c>
      <c r="R71" t="s">
        <v>130</v>
      </c>
      <c r="S71" t="s">
        <v>131</v>
      </c>
      <c r="T71" t="s">
        <v>132</v>
      </c>
      <c r="U71" t="s">
        <v>133</v>
      </c>
    </row>
    <row r="72" spans="5:21" x14ac:dyDescent="0.35">
      <c r="E72" t="s">
        <v>179</v>
      </c>
      <c r="F72">
        <v>43709001</v>
      </c>
      <c r="G72">
        <v>1</v>
      </c>
      <c r="H72">
        <v>2171.29</v>
      </c>
      <c r="I72">
        <v>3578.27</v>
      </c>
      <c r="J72">
        <v>42918</v>
      </c>
      <c r="K72">
        <v>42923</v>
      </c>
      <c r="L72">
        <v>5</v>
      </c>
      <c r="M72" t="s">
        <v>180</v>
      </c>
      <c r="N72" t="s">
        <v>181</v>
      </c>
      <c r="O72" t="s">
        <v>161</v>
      </c>
      <c r="P72" t="s">
        <v>150</v>
      </c>
      <c r="Q72" t="s">
        <v>120</v>
      </c>
      <c r="R72" t="s">
        <v>121</v>
      </c>
      <c r="S72" t="s">
        <v>182</v>
      </c>
      <c r="T72" t="s">
        <v>123</v>
      </c>
      <c r="U72" t="s">
        <v>124</v>
      </c>
    </row>
    <row r="73" spans="5:21" x14ac:dyDescent="0.35">
      <c r="E73" t="s">
        <v>208</v>
      </c>
      <c r="F73">
        <v>43717001</v>
      </c>
      <c r="G73">
        <v>1</v>
      </c>
      <c r="H73">
        <v>413.15</v>
      </c>
      <c r="I73">
        <v>699.1</v>
      </c>
      <c r="J73">
        <v>42919</v>
      </c>
      <c r="K73">
        <v>42924</v>
      </c>
      <c r="L73">
        <v>5</v>
      </c>
      <c r="M73" t="s">
        <v>209</v>
      </c>
      <c r="N73" t="s">
        <v>207</v>
      </c>
      <c r="O73" t="s">
        <v>149</v>
      </c>
      <c r="P73" t="s">
        <v>150</v>
      </c>
      <c r="Q73" t="s">
        <v>120</v>
      </c>
      <c r="R73" t="s">
        <v>121</v>
      </c>
      <c r="S73" t="s">
        <v>143</v>
      </c>
      <c r="T73" t="s">
        <v>144</v>
      </c>
      <c r="U73" t="s">
        <v>145</v>
      </c>
    </row>
    <row r="74" spans="5:21" x14ac:dyDescent="0.35">
      <c r="E74" t="s">
        <v>214</v>
      </c>
      <c r="F74">
        <v>43719001</v>
      </c>
      <c r="G74">
        <v>1</v>
      </c>
      <c r="H74">
        <v>2171.29</v>
      </c>
      <c r="I74">
        <v>3578.27</v>
      </c>
      <c r="J74">
        <v>42919</v>
      </c>
      <c r="K74">
        <v>42924</v>
      </c>
      <c r="L74">
        <v>5</v>
      </c>
      <c r="M74" t="s">
        <v>215</v>
      </c>
      <c r="N74" t="s">
        <v>216</v>
      </c>
      <c r="O74" t="s">
        <v>142</v>
      </c>
      <c r="P74" t="s">
        <v>138</v>
      </c>
      <c r="Q74" t="s">
        <v>120</v>
      </c>
      <c r="R74" t="s">
        <v>121</v>
      </c>
      <c r="S74" t="s">
        <v>169</v>
      </c>
      <c r="T74" t="s">
        <v>123</v>
      </c>
      <c r="U74" t="s">
        <v>124</v>
      </c>
    </row>
    <row r="75" spans="5:21" x14ac:dyDescent="0.35">
      <c r="E75" t="s">
        <v>264</v>
      </c>
      <c r="F75">
        <v>43735001</v>
      </c>
      <c r="G75">
        <v>1</v>
      </c>
      <c r="H75">
        <v>2171.29</v>
      </c>
      <c r="I75">
        <v>3578.27</v>
      </c>
      <c r="J75">
        <v>42921</v>
      </c>
      <c r="K75">
        <v>42926</v>
      </c>
      <c r="L75">
        <v>5</v>
      </c>
      <c r="M75" t="s">
        <v>265</v>
      </c>
      <c r="N75" t="s">
        <v>266</v>
      </c>
      <c r="O75" t="s">
        <v>161</v>
      </c>
      <c r="P75" t="s">
        <v>150</v>
      </c>
      <c r="Q75" t="s">
        <v>120</v>
      </c>
      <c r="R75" t="s">
        <v>121</v>
      </c>
      <c r="S75" t="s">
        <v>122</v>
      </c>
      <c r="T75" t="s">
        <v>123</v>
      </c>
      <c r="U75" t="s">
        <v>124</v>
      </c>
    </row>
    <row r="76" spans="5:21" x14ac:dyDescent="0.35">
      <c r="E76" t="s">
        <v>287</v>
      </c>
      <c r="F76">
        <v>43742001</v>
      </c>
      <c r="G76">
        <v>1</v>
      </c>
      <c r="H76">
        <v>2171.29</v>
      </c>
      <c r="I76">
        <v>3578.27</v>
      </c>
      <c r="J76">
        <v>42922</v>
      </c>
      <c r="K76">
        <v>42927</v>
      </c>
      <c r="L76">
        <v>5</v>
      </c>
      <c r="M76" t="s">
        <v>288</v>
      </c>
      <c r="N76" t="s">
        <v>289</v>
      </c>
      <c r="O76" t="s">
        <v>176</v>
      </c>
      <c r="P76" t="s">
        <v>177</v>
      </c>
      <c r="Q76" t="s">
        <v>120</v>
      </c>
      <c r="R76" t="s">
        <v>121</v>
      </c>
      <c r="S76" t="s">
        <v>186</v>
      </c>
      <c r="T76" t="s">
        <v>123</v>
      </c>
      <c r="U76" t="s">
        <v>124</v>
      </c>
    </row>
    <row r="77" spans="5:21" x14ac:dyDescent="0.35">
      <c r="E77" t="s">
        <v>294</v>
      </c>
      <c r="F77">
        <v>43744001</v>
      </c>
      <c r="G77">
        <v>1</v>
      </c>
      <c r="H77">
        <v>2171.29</v>
      </c>
      <c r="I77">
        <v>3578.27</v>
      </c>
      <c r="J77">
        <v>42922</v>
      </c>
      <c r="K77">
        <v>42927</v>
      </c>
      <c r="L77">
        <v>5</v>
      </c>
      <c r="M77" t="s">
        <v>295</v>
      </c>
      <c r="N77" t="s">
        <v>181</v>
      </c>
      <c r="O77" t="s">
        <v>161</v>
      </c>
      <c r="P77" t="s">
        <v>150</v>
      </c>
      <c r="Q77" t="s">
        <v>120</v>
      </c>
      <c r="R77" t="s">
        <v>121</v>
      </c>
      <c r="S77" t="s">
        <v>182</v>
      </c>
      <c r="T77" t="s">
        <v>123</v>
      </c>
      <c r="U77" t="s">
        <v>124</v>
      </c>
    </row>
    <row r="78" spans="5:21" x14ac:dyDescent="0.35">
      <c r="E78" t="s">
        <v>314</v>
      </c>
      <c r="F78">
        <v>43751001</v>
      </c>
      <c r="G78">
        <v>1</v>
      </c>
      <c r="H78">
        <v>2171.29</v>
      </c>
      <c r="I78">
        <v>3578.27</v>
      </c>
      <c r="J78">
        <v>42923</v>
      </c>
      <c r="K78">
        <v>42928</v>
      </c>
      <c r="L78">
        <v>5</v>
      </c>
      <c r="M78" t="s">
        <v>315</v>
      </c>
      <c r="N78" t="s">
        <v>316</v>
      </c>
      <c r="O78" t="s">
        <v>317</v>
      </c>
      <c r="P78" t="s">
        <v>129</v>
      </c>
      <c r="Q78" t="s">
        <v>120</v>
      </c>
      <c r="R78" t="s">
        <v>121</v>
      </c>
      <c r="S78" t="s">
        <v>182</v>
      </c>
      <c r="T78" t="s">
        <v>123</v>
      </c>
      <c r="U78" t="s">
        <v>124</v>
      </c>
    </row>
    <row r="79" spans="5:21" x14ac:dyDescent="0.35">
      <c r="E79" t="s">
        <v>339</v>
      </c>
      <c r="F79">
        <v>43760001</v>
      </c>
      <c r="G79">
        <v>1</v>
      </c>
      <c r="H79">
        <v>2171.29</v>
      </c>
      <c r="I79">
        <v>3578.27</v>
      </c>
      <c r="J79">
        <v>42924</v>
      </c>
      <c r="K79">
        <v>42929</v>
      </c>
      <c r="L79">
        <v>5</v>
      </c>
      <c r="M79" t="s">
        <v>340</v>
      </c>
      <c r="N79" t="s">
        <v>207</v>
      </c>
      <c r="O79" t="s">
        <v>149</v>
      </c>
      <c r="P79" t="s">
        <v>150</v>
      </c>
      <c r="Q79" t="s">
        <v>120</v>
      </c>
      <c r="R79" t="s">
        <v>121</v>
      </c>
      <c r="S79" t="s">
        <v>186</v>
      </c>
      <c r="T79" t="s">
        <v>123</v>
      </c>
      <c r="U79" t="s">
        <v>124</v>
      </c>
    </row>
    <row r="80" spans="5:21" x14ac:dyDescent="0.35">
      <c r="E80" t="s">
        <v>349</v>
      </c>
      <c r="F80">
        <v>43764001</v>
      </c>
      <c r="G80">
        <v>1</v>
      </c>
      <c r="H80">
        <v>2171.29</v>
      </c>
      <c r="I80">
        <v>3578.27</v>
      </c>
      <c r="J80">
        <v>42925</v>
      </c>
      <c r="K80">
        <v>42930</v>
      </c>
      <c r="L80">
        <v>5</v>
      </c>
      <c r="M80" t="s">
        <v>350</v>
      </c>
      <c r="N80" t="s">
        <v>254</v>
      </c>
      <c r="O80" t="s">
        <v>149</v>
      </c>
      <c r="P80" t="s">
        <v>150</v>
      </c>
      <c r="Q80" t="s">
        <v>120</v>
      </c>
      <c r="R80" t="s">
        <v>121</v>
      </c>
      <c r="S80" t="s">
        <v>122</v>
      </c>
      <c r="T80" t="s">
        <v>123</v>
      </c>
      <c r="U80" t="s">
        <v>124</v>
      </c>
    </row>
    <row r="81" spans="5:21" x14ac:dyDescent="0.35">
      <c r="E81" t="s">
        <v>399</v>
      </c>
      <c r="F81">
        <v>43783001</v>
      </c>
      <c r="G81">
        <v>1</v>
      </c>
      <c r="H81">
        <v>2171.29</v>
      </c>
      <c r="I81">
        <v>3578.27</v>
      </c>
      <c r="J81">
        <v>42927</v>
      </c>
      <c r="K81">
        <v>42932</v>
      </c>
      <c r="L81">
        <v>5</v>
      </c>
      <c r="M81" t="s">
        <v>400</v>
      </c>
      <c r="N81" t="s">
        <v>401</v>
      </c>
      <c r="O81" t="s">
        <v>149</v>
      </c>
      <c r="P81" t="s">
        <v>150</v>
      </c>
      <c r="Q81" t="s">
        <v>120</v>
      </c>
      <c r="R81" t="s">
        <v>121</v>
      </c>
      <c r="S81" t="s">
        <v>169</v>
      </c>
      <c r="T81" t="s">
        <v>123</v>
      </c>
      <c r="U81" t="s">
        <v>124</v>
      </c>
    </row>
    <row r="82" spans="5:21" x14ac:dyDescent="0.35">
      <c r="E82" t="s">
        <v>425</v>
      </c>
      <c r="F82">
        <v>43793001</v>
      </c>
      <c r="G82">
        <v>1</v>
      </c>
      <c r="H82">
        <v>1912.15</v>
      </c>
      <c r="I82">
        <v>3399.99</v>
      </c>
      <c r="J82">
        <v>42928</v>
      </c>
      <c r="K82">
        <v>42933</v>
      </c>
      <c r="L82">
        <v>5</v>
      </c>
      <c r="M82" t="s">
        <v>426</v>
      </c>
      <c r="N82" t="s">
        <v>181</v>
      </c>
      <c r="O82" t="s">
        <v>161</v>
      </c>
      <c r="P82" t="s">
        <v>150</v>
      </c>
      <c r="Q82" t="s">
        <v>120</v>
      </c>
      <c r="R82" t="s">
        <v>130</v>
      </c>
      <c r="S82" t="s">
        <v>165</v>
      </c>
      <c r="T82" t="s">
        <v>132</v>
      </c>
      <c r="U82" t="s">
        <v>133</v>
      </c>
    </row>
    <row r="83" spans="5:21" x14ac:dyDescent="0.35">
      <c r="E83" t="s">
        <v>115</v>
      </c>
      <c r="F83">
        <v>43697001</v>
      </c>
      <c r="G83">
        <v>1</v>
      </c>
      <c r="H83">
        <v>2171.29</v>
      </c>
      <c r="I83">
        <v>3578.27</v>
      </c>
      <c r="J83">
        <v>42917</v>
      </c>
      <c r="K83">
        <v>42921</v>
      </c>
      <c r="L83">
        <v>4</v>
      </c>
      <c r="M83" t="s">
        <v>116</v>
      </c>
      <c r="N83" t="s">
        <v>117</v>
      </c>
      <c r="O83" t="s">
        <v>118</v>
      </c>
      <c r="P83" t="s">
        <v>119</v>
      </c>
      <c r="Q83" t="s">
        <v>120</v>
      </c>
      <c r="R83" t="s">
        <v>121</v>
      </c>
      <c r="S83" t="s">
        <v>122</v>
      </c>
      <c r="T83" t="s">
        <v>123</v>
      </c>
      <c r="U83" t="s">
        <v>124</v>
      </c>
    </row>
    <row r="84" spans="5:21" x14ac:dyDescent="0.35">
      <c r="E84" t="s">
        <v>151</v>
      </c>
      <c r="F84">
        <v>43702001</v>
      </c>
      <c r="G84">
        <v>1</v>
      </c>
      <c r="H84">
        <v>2171.29</v>
      </c>
      <c r="I84">
        <v>3578.27</v>
      </c>
      <c r="J84">
        <v>42917</v>
      </c>
      <c r="K84">
        <v>42921</v>
      </c>
      <c r="L84">
        <v>4</v>
      </c>
      <c r="M84" t="s">
        <v>152</v>
      </c>
      <c r="N84"/>
      <c r="O84" t="s">
        <v>142</v>
      </c>
      <c r="P84" t="s">
        <v>138</v>
      </c>
      <c r="Q84" t="s">
        <v>120</v>
      </c>
      <c r="R84" t="s">
        <v>121</v>
      </c>
      <c r="S84" t="s">
        <v>153</v>
      </c>
      <c r="T84" t="s">
        <v>123</v>
      </c>
      <c r="U84" t="s">
        <v>124</v>
      </c>
    </row>
    <row r="85" spans="5:21" x14ac:dyDescent="0.35">
      <c r="E85" t="s">
        <v>163</v>
      </c>
      <c r="F85">
        <v>43705001</v>
      </c>
      <c r="G85">
        <v>1</v>
      </c>
      <c r="H85">
        <v>1912.15</v>
      </c>
      <c r="I85">
        <v>3399.99</v>
      </c>
      <c r="J85">
        <v>42917</v>
      </c>
      <c r="K85">
        <v>42921</v>
      </c>
      <c r="L85">
        <v>4</v>
      </c>
      <c r="M85" t="s">
        <v>164</v>
      </c>
      <c r="N85" t="s">
        <v>160</v>
      </c>
      <c r="O85" t="s">
        <v>161</v>
      </c>
      <c r="P85" t="s">
        <v>150</v>
      </c>
      <c r="Q85" t="s">
        <v>120</v>
      </c>
      <c r="R85" t="s">
        <v>130</v>
      </c>
      <c r="S85" t="s">
        <v>165</v>
      </c>
      <c r="T85" t="s">
        <v>132</v>
      </c>
      <c r="U85" t="s">
        <v>133</v>
      </c>
    </row>
    <row r="86" spans="5:21" x14ac:dyDescent="0.35">
      <c r="E86" t="s">
        <v>243</v>
      </c>
      <c r="F86">
        <v>43728001</v>
      </c>
      <c r="G86">
        <v>1</v>
      </c>
      <c r="H86">
        <v>2171.29</v>
      </c>
      <c r="I86">
        <v>3578.27</v>
      </c>
      <c r="J86">
        <v>42921</v>
      </c>
      <c r="K86">
        <v>42925</v>
      </c>
      <c r="L86">
        <v>4</v>
      </c>
      <c r="M86" t="s">
        <v>244</v>
      </c>
      <c r="N86" t="s">
        <v>245</v>
      </c>
      <c r="O86" t="s">
        <v>142</v>
      </c>
      <c r="P86" t="s">
        <v>138</v>
      </c>
      <c r="Q86" t="s">
        <v>120</v>
      </c>
      <c r="R86" t="s">
        <v>121</v>
      </c>
      <c r="S86" t="s">
        <v>182</v>
      </c>
      <c r="T86" t="s">
        <v>123</v>
      </c>
      <c r="U86" t="s">
        <v>124</v>
      </c>
    </row>
    <row r="87" spans="5:21" x14ac:dyDescent="0.35">
      <c r="E87" t="s">
        <v>262</v>
      </c>
      <c r="F87">
        <v>43734001</v>
      </c>
      <c r="G87">
        <v>1</v>
      </c>
      <c r="H87">
        <v>2171.29</v>
      </c>
      <c r="I87">
        <v>3578.27</v>
      </c>
      <c r="J87">
        <v>42921</v>
      </c>
      <c r="K87">
        <v>42925</v>
      </c>
      <c r="L87">
        <v>4</v>
      </c>
      <c r="M87" t="s">
        <v>263</v>
      </c>
      <c r="N87" t="s">
        <v>261</v>
      </c>
      <c r="O87" t="s">
        <v>213</v>
      </c>
      <c r="P87" t="s">
        <v>138</v>
      </c>
      <c r="Q87" t="s">
        <v>120</v>
      </c>
      <c r="R87" t="s">
        <v>121</v>
      </c>
      <c r="S87" t="s">
        <v>169</v>
      </c>
      <c r="T87" t="s">
        <v>123</v>
      </c>
      <c r="U87" t="s">
        <v>124</v>
      </c>
    </row>
    <row r="88" spans="5:21" x14ac:dyDescent="0.35">
      <c r="E88" t="s">
        <v>296</v>
      </c>
      <c r="F88">
        <v>43745001</v>
      </c>
      <c r="G88">
        <v>1</v>
      </c>
      <c r="H88">
        <v>2171.29</v>
      </c>
      <c r="I88">
        <v>3578.27</v>
      </c>
      <c r="J88">
        <v>42923</v>
      </c>
      <c r="K88">
        <v>42927</v>
      </c>
      <c r="L88">
        <v>4</v>
      </c>
      <c r="M88" t="s">
        <v>297</v>
      </c>
      <c r="N88" t="s">
        <v>298</v>
      </c>
      <c r="O88" t="s">
        <v>149</v>
      </c>
      <c r="P88" t="s">
        <v>150</v>
      </c>
      <c r="Q88" t="s">
        <v>120</v>
      </c>
      <c r="R88" t="s">
        <v>121</v>
      </c>
      <c r="S88" t="s">
        <v>153</v>
      </c>
      <c r="T88" t="s">
        <v>123</v>
      </c>
      <c r="U88" t="s">
        <v>124</v>
      </c>
    </row>
    <row r="89" spans="5:21" x14ac:dyDescent="0.35">
      <c r="E89" t="s">
        <v>307</v>
      </c>
      <c r="F89">
        <v>43749001</v>
      </c>
      <c r="G89">
        <v>1</v>
      </c>
      <c r="H89">
        <v>2171.29</v>
      </c>
      <c r="I89">
        <v>3578.27</v>
      </c>
      <c r="J89">
        <v>42923</v>
      </c>
      <c r="K89">
        <v>42927</v>
      </c>
      <c r="L89">
        <v>4</v>
      </c>
      <c r="M89" t="s">
        <v>308</v>
      </c>
      <c r="N89" t="s">
        <v>309</v>
      </c>
      <c r="O89" t="s">
        <v>213</v>
      </c>
      <c r="P89" t="s">
        <v>138</v>
      </c>
      <c r="Q89" t="s">
        <v>120</v>
      </c>
      <c r="R89" t="s">
        <v>121</v>
      </c>
      <c r="S89" t="s">
        <v>186</v>
      </c>
      <c r="T89" t="s">
        <v>123</v>
      </c>
      <c r="U89" t="s">
        <v>124</v>
      </c>
    </row>
    <row r="90" spans="5:21" x14ac:dyDescent="0.35">
      <c r="E90" t="s">
        <v>356</v>
      </c>
      <c r="F90">
        <v>43767001</v>
      </c>
      <c r="G90">
        <v>1</v>
      </c>
      <c r="H90">
        <v>1898.09</v>
      </c>
      <c r="I90">
        <v>3374.99</v>
      </c>
      <c r="J90">
        <v>42925</v>
      </c>
      <c r="K90">
        <v>42929</v>
      </c>
      <c r="L90">
        <v>4</v>
      </c>
      <c r="M90" t="s">
        <v>357</v>
      </c>
      <c r="N90" t="s">
        <v>343</v>
      </c>
      <c r="O90" t="s">
        <v>204</v>
      </c>
      <c r="P90" t="s">
        <v>150</v>
      </c>
      <c r="Q90" t="s">
        <v>120</v>
      </c>
      <c r="R90" t="s">
        <v>130</v>
      </c>
      <c r="S90" t="s">
        <v>258</v>
      </c>
      <c r="T90" t="s">
        <v>144</v>
      </c>
      <c r="U90" t="s">
        <v>133</v>
      </c>
    </row>
    <row r="91" spans="5:21" x14ac:dyDescent="0.35">
      <c r="E91" t="s">
        <v>384</v>
      </c>
      <c r="F91">
        <v>43778001</v>
      </c>
      <c r="G91">
        <v>1</v>
      </c>
      <c r="H91">
        <v>1912.15</v>
      </c>
      <c r="I91">
        <v>3399.99</v>
      </c>
      <c r="J91">
        <v>42926</v>
      </c>
      <c r="K91">
        <v>42930</v>
      </c>
      <c r="L91">
        <v>4</v>
      </c>
      <c r="M91" t="s">
        <v>385</v>
      </c>
      <c r="N91" t="s">
        <v>232</v>
      </c>
      <c r="O91" t="s">
        <v>204</v>
      </c>
      <c r="P91" t="s">
        <v>150</v>
      </c>
      <c r="Q91" t="s">
        <v>120</v>
      </c>
      <c r="R91" t="s">
        <v>130</v>
      </c>
      <c r="S91" t="s">
        <v>386</v>
      </c>
      <c r="T91" t="s">
        <v>132</v>
      </c>
      <c r="U91" t="s">
        <v>133</v>
      </c>
    </row>
    <row r="92" spans="5:21" x14ac:dyDescent="0.35">
      <c r="E92" t="s">
        <v>407</v>
      </c>
      <c r="F92">
        <v>43786001</v>
      </c>
      <c r="G92">
        <v>1</v>
      </c>
      <c r="H92">
        <v>2171.29</v>
      </c>
      <c r="I92">
        <v>3578.27</v>
      </c>
      <c r="J92">
        <v>42928</v>
      </c>
      <c r="K92">
        <v>42932</v>
      </c>
      <c r="L92">
        <v>4</v>
      </c>
      <c r="M92" t="s">
        <v>408</v>
      </c>
      <c r="N92" t="s">
        <v>316</v>
      </c>
      <c r="O92" t="s">
        <v>317</v>
      </c>
      <c r="P92" t="s">
        <v>129</v>
      </c>
      <c r="Q92" t="s">
        <v>120</v>
      </c>
      <c r="R92" t="s">
        <v>121</v>
      </c>
      <c r="S92" t="s">
        <v>153</v>
      </c>
      <c r="T92" t="s">
        <v>123</v>
      </c>
      <c r="U92" t="s">
        <v>124</v>
      </c>
    </row>
    <row r="93" spans="5:21" x14ac:dyDescent="0.35">
      <c r="E93" t="s">
        <v>414</v>
      </c>
      <c r="F93">
        <v>43789001</v>
      </c>
      <c r="G93">
        <v>1</v>
      </c>
      <c r="H93">
        <v>1898.09</v>
      </c>
      <c r="I93">
        <v>3374.99</v>
      </c>
      <c r="J93">
        <v>42928</v>
      </c>
      <c r="K93">
        <v>42932</v>
      </c>
      <c r="L93">
        <v>4</v>
      </c>
      <c r="M93" t="s">
        <v>415</v>
      </c>
      <c r="N93" t="s">
        <v>212</v>
      </c>
      <c r="O93" t="s">
        <v>213</v>
      </c>
      <c r="P93" t="s">
        <v>138</v>
      </c>
      <c r="Q93" t="s">
        <v>120</v>
      </c>
      <c r="R93" t="s">
        <v>130</v>
      </c>
      <c r="S93" t="s">
        <v>162</v>
      </c>
      <c r="T93" t="s">
        <v>144</v>
      </c>
      <c r="U93" t="s">
        <v>133</v>
      </c>
    </row>
    <row r="94" spans="5:21" x14ac:dyDescent="0.35">
      <c r="E94" t="s">
        <v>158</v>
      </c>
      <c r="F94">
        <v>43704001</v>
      </c>
      <c r="G94">
        <v>1</v>
      </c>
      <c r="H94">
        <v>1898.09</v>
      </c>
      <c r="I94">
        <v>3374.99</v>
      </c>
      <c r="J94">
        <v>42917</v>
      </c>
      <c r="K94">
        <v>42920</v>
      </c>
      <c r="L94">
        <v>3</v>
      </c>
      <c r="M94" t="s">
        <v>159</v>
      </c>
      <c r="N94" t="s">
        <v>160</v>
      </c>
      <c r="O94" t="s">
        <v>161</v>
      </c>
      <c r="P94" t="s">
        <v>150</v>
      </c>
      <c r="Q94" t="s">
        <v>120</v>
      </c>
      <c r="R94" t="s">
        <v>130</v>
      </c>
      <c r="S94" t="s">
        <v>162</v>
      </c>
      <c r="T94" t="s">
        <v>144</v>
      </c>
      <c r="U94" t="s">
        <v>133</v>
      </c>
    </row>
    <row r="95" spans="5:21" x14ac:dyDescent="0.35">
      <c r="E95" t="s">
        <v>173</v>
      </c>
      <c r="F95">
        <v>43708001</v>
      </c>
      <c r="G95">
        <v>1</v>
      </c>
      <c r="H95">
        <v>413.15</v>
      </c>
      <c r="I95">
        <v>699.1</v>
      </c>
      <c r="J95">
        <v>42918</v>
      </c>
      <c r="K95">
        <v>42921</v>
      </c>
      <c r="L95">
        <v>3</v>
      </c>
      <c r="M95" t="s">
        <v>174</v>
      </c>
      <c r="N95" t="s">
        <v>175</v>
      </c>
      <c r="O95" t="s">
        <v>176</v>
      </c>
      <c r="P95" t="s">
        <v>177</v>
      </c>
      <c r="Q95" t="s">
        <v>120</v>
      </c>
      <c r="R95" t="s">
        <v>121</v>
      </c>
      <c r="S95" t="s">
        <v>178</v>
      </c>
      <c r="T95" t="s">
        <v>123</v>
      </c>
      <c r="U95" t="s">
        <v>145</v>
      </c>
    </row>
    <row r="96" spans="5:21" x14ac:dyDescent="0.35">
      <c r="E96" t="s">
        <v>281</v>
      </c>
      <c r="F96">
        <v>43740001</v>
      </c>
      <c r="G96">
        <v>1</v>
      </c>
      <c r="H96">
        <v>2171.29</v>
      </c>
      <c r="I96">
        <v>3578.27</v>
      </c>
      <c r="J96">
        <v>42922</v>
      </c>
      <c r="K96">
        <v>42925</v>
      </c>
      <c r="L96">
        <v>3</v>
      </c>
      <c r="M96" t="s">
        <v>282</v>
      </c>
      <c r="N96" t="s">
        <v>283</v>
      </c>
      <c r="O96" t="s">
        <v>149</v>
      </c>
      <c r="P96" t="s">
        <v>150</v>
      </c>
      <c r="Q96" t="s">
        <v>120</v>
      </c>
      <c r="R96" t="s">
        <v>121</v>
      </c>
      <c r="S96" t="s">
        <v>169</v>
      </c>
      <c r="T96" t="s">
        <v>123</v>
      </c>
      <c r="U96" t="s">
        <v>124</v>
      </c>
    </row>
    <row r="97" spans="5:21" x14ac:dyDescent="0.35">
      <c r="E97" t="s">
        <v>330</v>
      </c>
      <c r="F97">
        <v>43757001</v>
      </c>
      <c r="G97">
        <v>1</v>
      </c>
      <c r="H97">
        <v>1898.09</v>
      </c>
      <c r="I97">
        <v>3374.99</v>
      </c>
      <c r="J97">
        <v>42924</v>
      </c>
      <c r="K97">
        <v>42927</v>
      </c>
      <c r="L97">
        <v>3</v>
      </c>
      <c r="M97" t="s">
        <v>331</v>
      </c>
      <c r="N97" t="s">
        <v>332</v>
      </c>
      <c r="O97" t="s">
        <v>204</v>
      </c>
      <c r="P97" t="s">
        <v>150</v>
      </c>
      <c r="Q97" t="s">
        <v>120</v>
      </c>
      <c r="R97" t="s">
        <v>130</v>
      </c>
      <c r="S97" t="s">
        <v>258</v>
      </c>
      <c r="T97" t="s">
        <v>144</v>
      </c>
      <c r="U97" t="s">
        <v>133</v>
      </c>
    </row>
    <row r="98" spans="5:21" x14ac:dyDescent="0.35">
      <c r="E98" t="s">
        <v>333</v>
      </c>
      <c r="F98">
        <v>43758001</v>
      </c>
      <c r="G98">
        <v>1</v>
      </c>
      <c r="H98">
        <v>2171.29</v>
      </c>
      <c r="I98">
        <v>3578.27</v>
      </c>
      <c r="J98">
        <v>42924</v>
      </c>
      <c r="K98">
        <v>42927</v>
      </c>
      <c r="L98">
        <v>3</v>
      </c>
      <c r="M98" t="s">
        <v>334</v>
      </c>
      <c r="N98" t="s">
        <v>335</v>
      </c>
      <c r="O98" t="s">
        <v>142</v>
      </c>
      <c r="P98" t="s">
        <v>138</v>
      </c>
      <c r="Q98" t="s">
        <v>120</v>
      </c>
      <c r="R98" t="s">
        <v>121</v>
      </c>
      <c r="S98" t="s">
        <v>122</v>
      </c>
      <c r="T98" t="s">
        <v>123</v>
      </c>
      <c r="U98" t="s">
        <v>124</v>
      </c>
    </row>
    <row r="99" spans="5:21" x14ac:dyDescent="0.35">
      <c r="E99" t="s">
        <v>336</v>
      </c>
      <c r="F99">
        <v>43759001</v>
      </c>
      <c r="G99">
        <v>1</v>
      </c>
      <c r="H99">
        <v>2171.29</v>
      </c>
      <c r="I99">
        <v>3578.27</v>
      </c>
      <c r="J99">
        <v>42924</v>
      </c>
      <c r="K99">
        <v>42927</v>
      </c>
      <c r="L99">
        <v>3</v>
      </c>
      <c r="M99" t="s">
        <v>337</v>
      </c>
      <c r="N99" t="s">
        <v>338</v>
      </c>
      <c r="O99" t="s">
        <v>220</v>
      </c>
      <c r="P99" t="s">
        <v>194</v>
      </c>
      <c r="Q99" t="s">
        <v>120</v>
      </c>
      <c r="R99" t="s">
        <v>121</v>
      </c>
      <c r="S99" t="s">
        <v>122</v>
      </c>
      <c r="T99" t="s">
        <v>123</v>
      </c>
      <c r="U99" t="s">
        <v>124</v>
      </c>
    </row>
    <row r="100" spans="5:21" x14ac:dyDescent="0.35">
      <c r="E100" t="s">
        <v>341</v>
      </c>
      <c r="F100">
        <v>43761001</v>
      </c>
      <c r="G100">
        <v>1</v>
      </c>
      <c r="H100">
        <v>2171.29</v>
      </c>
      <c r="I100">
        <v>3578.27</v>
      </c>
      <c r="J100">
        <v>42924</v>
      </c>
      <c r="K100">
        <v>42927</v>
      </c>
      <c r="L100">
        <v>3</v>
      </c>
      <c r="M100" t="s">
        <v>342</v>
      </c>
      <c r="N100" t="s">
        <v>343</v>
      </c>
      <c r="O100" t="s">
        <v>204</v>
      </c>
      <c r="P100" t="s">
        <v>150</v>
      </c>
      <c r="Q100" t="s">
        <v>120</v>
      </c>
      <c r="R100" t="s">
        <v>121</v>
      </c>
      <c r="S100" t="s">
        <v>122</v>
      </c>
      <c r="T100" t="s">
        <v>123</v>
      </c>
      <c r="U100" t="s">
        <v>124</v>
      </c>
    </row>
    <row r="101" spans="5:21" x14ac:dyDescent="0.35">
      <c r="E101" t="s">
        <v>364</v>
      </c>
      <c r="F101">
        <v>43770001</v>
      </c>
      <c r="G101">
        <v>1</v>
      </c>
      <c r="H101">
        <v>2171.29</v>
      </c>
      <c r="I101">
        <v>3578.27</v>
      </c>
      <c r="J101">
        <v>42926</v>
      </c>
      <c r="K101">
        <v>42929</v>
      </c>
      <c r="L101">
        <v>3</v>
      </c>
      <c r="M101" t="s">
        <v>365</v>
      </c>
      <c r="N101" t="s">
        <v>366</v>
      </c>
      <c r="O101" t="s">
        <v>213</v>
      </c>
      <c r="P101" t="s">
        <v>138</v>
      </c>
      <c r="Q101" t="s">
        <v>120</v>
      </c>
      <c r="R101" t="s">
        <v>121</v>
      </c>
      <c r="S101" t="s">
        <v>169</v>
      </c>
      <c r="T101" t="s">
        <v>123</v>
      </c>
      <c r="U101" t="s">
        <v>124</v>
      </c>
    </row>
    <row r="102" spans="5:21" x14ac:dyDescent="0.35">
      <c r="E102" t="s">
        <v>382</v>
      </c>
      <c r="F102">
        <v>43777001</v>
      </c>
      <c r="G102">
        <v>1</v>
      </c>
      <c r="H102">
        <v>2171.29</v>
      </c>
      <c r="I102">
        <v>3578.27</v>
      </c>
      <c r="J102">
        <v>42926</v>
      </c>
      <c r="K102">
        <v>42929</v>
      </c>
      <c r="L102">
        <v>3</v>
      </c>
      <c r="M102" t="s">
        <v>383</v>
      </c>
      <c r="N102" t="s">
        <v>269</v>
      </c>
      <c r="O102" t="s">
        <v>270</v>
      </c>
      <c r="P102" t="s">
        <v>150</v>
      </c>
      <c r="Q102" t="s">
        <v>120</v>
      </c>
      <c r="R102" t="s">
        <v>121</v>
      </c>
      <c r="S102" t="s">
        <v>153</v>
      </c>
      <c r="T102" t="s">
        <v>123</v>
      </c>
      <c r="U102" t="s">
        <v>124</v>
      </c>
    </row>
    <row r="103" spans="5:21" x14ac:dyDescent="0.35">
      <c r="E103" t="s">
        <v>416</v>
      </c>
      <c r="F103">
        <v>43790001</v>
      </c>
      <c r="G103">
        <v>1</v>
      </c>
      <c r="H103">
        <v>1912.15</v>
      </c>
      <c r="I103">
        <v>3399.99</v>
      </c>
      <c r="J103">
        <v>42928</v>
      </c>
      <c r="K103">
        <v>42931</v>
      </c>
      <c r="L103">
        <v>3</v>
      </c>
      <c r="M103" t="s">
        <v>417</v>
      </c>
      <c r="N103" t="s">
        <v>418</v>
      </c>
      <c r="O103" t="s">
        <v>137</v>
      </c>
      <c r="P103" t="s">
        <v>138</v>
      </c>
      <c r="Q103" t="s">
        <v>120</v>
      </c>
      <c r="R103" t="s">
        <v>130</v>
      </c>
      <c r="S103" t="s">
        <v>165</v>
      </c>
      <c r="T103" t="s">
        <v>132</v>
      </c>
      <c r="U103" t="s">
        <v>133</v>
      </c>
    </row>
    <row r="104" spans="5:21" x14ac:dyDescent="0.35">
      <c r="E104" t="s">
        <v>419</v>
      </c>
      <c r="F104">
        <v>43791001</v>
      </c>
      <c r="G104">
        <v>1</v>
      </c>
      <c r="H104">
        <v>2171.29</v>
      </c>
      <c r="I104">
        <v>3578.27</v>
      </c>
      <c r="J104">
        <v>42928</v>
      </c>
      <c r="K104">
        <v>42931</v>
      </c>
      <c r="L104">
        <v>3</v>
      </c>
      <c r="M104" t="s">
        <v>420</v>
      </c>
      <c r="N104" t="s">
        <v>421</v>
      </c>
      <c r="O104" t="s">
        <v>149</v>
      </c>
      <c r="P104" t="s">
        <v>150</v>
      </c>
      <c r="Q104" t="s">
        <v>120</v>
      </c>
      <c r="R104" t="s">
        <v>121</v>
      </c>
      <c r="S104" t="s">
        <v>186</v>
      </c>
      <c r="T104" t="s">
        <v>123</v>
      </c>
      <c r="U104" t="s">
        <v>124</v>
      </c>
    </row>
    <row r="105" spans="5:21" x14ac:dyDescent="0.35">
      <c r="E105" t="s">
        <v>429</v>
      </c>
      <c r="F105">
        <v>43795001</v>
      </c>
      <c r="G105">
        <v>1</v>
      </c>
      <c r="H105">
        <v>2171.29</v>
      </c>
      <c r="I105">
        <v>3578.27</v>
      </c>
      <c r="J105">
        <v>42929</v>
      </c>
      <c r="K105">
        <v>42932</v>
      </c>
      <c r="L105">
        <v>3</v>
      </c>
      <c r="M105" t="s">
        <v>430</v>
      </c>
      <c r="N105" t="s">
        <v>431</v>
      </c>
      <c r="O105" t="s">
        <v>142</v>
      </c>
      <c r="P105" t="s">
        <v>138</v>
      </c>
      <c r="Q105" t="s">
        <v>120</v>
      </c>
      <c r="R105" t="s">
        <v>121</v>
      </c>
      <c r="S105" t="s">
        <v>169</v>
      </c>
      <c r="T105" t="s">
        <v>123</v>
      </c>
      <c r="U105" t="s">
        <v>124</v>
      </c>
    </row>
    <row r="106" spans="5:21" x14ac:dyDescent="0.35">
      <c r="E106" t="s">
        <v>198</v>
      </c>
      <c r="F106">
        <v>43714001</v>
      </c>
      <c r="G106">
        <v>1</v>
      </c>
      <c r="H106">
        <v>2171.29</v>
      </c>
      <c r="I106">
        <v>3578.27</v>
      </c>
      <c r="J106">
        <v>42919</v>
      </c>
      <c r="K106">
        <v>42921</v>
      </c>
      <c r="L106">
        <v>2</v>
      </c>
      <c r="M106" t="s">
        <v>199</v>
      </c>
      <c r="N106" t="s">
        <v>200</v>
      </c>
      <c r="O106" t="s">
        <v>176</v>
      </c>
      <c r="P106" t="s">
        <v>177</v>
      </c>
      <c r="Q106" t="s">
        <v>120</v>
      </c>
      <c r="R106" t="s">
        <v>121</v>
      </c>
      <c r="S106" t="s">
        <v>153</v>
      </c>
      <c r="T106" t="s">
        <v>123</v>
      </c>
      <c r="U106" t="s">
        <v>124</v>
      </c>
    </row>
    <row r="107" spans="5:21" x14ac:dyDescent="0.35">
      <c r="E107" t="s">
        <v>210</v>
      </c>
      <c r="F107">
        <v>43718001</v>
      </c>
      <c r="G107">
        <v>1</v>
      </c>
      <c r="H107">
        <v>2171.29</v>
      </c>
      <c r="I107">
        <v>3578.27</v>
      </c>
      <c r="J107">
        <v>42919</v>
      </c>
      <c r="K107">
        <v>42921</v>
      </c>
      <c r="L107">
        <v>2</v>
      </c>
      <c r="M107" t="s">
        <v>211</v>
      </c>
      <c r="N107" t="s">
        <v>212</v>
      </c>
      <c r="O107" t="s">
        <v>213</v>
      </c>
      <c r="P107" t="s">
        <v>138</v>
      </c>
      <c r="Q107" t="s">
        <v>120</v>
      </c>
      <c r="R107" t="s">
        <v>121</v>
      </c>
      <c r="S107" t="s">
        <v>153</v>
      </c>
      <c r="T107" t="s">
        <v>123</v>
      </c>
      <c r="U107" t="s">
        <v>124</v>
      </c>
    </row>
    <row r="108" spans="5:21" x14ac:dyDescent="0.35">
      <c r="E108" t="s">
        <v>233</v>
      </c>
      <c r="F108">
        <v>43725001</v>
      </c>
      <c r="G108">
        <v>1</v>
      </c>
      <c r="H108">
        <v>2171.29</v>
      </c>
      <c r="I108">
        <v>3578.27</v>
      </c>
      <c r="J108">
        <v>42920</v>
      </c>
      <c r="K108">
        <v>42922</v>
      </c>
      <c r="L108">
        <v>2</v>
      </c>
      <c r="M108" t="s">
        <v>234</v>
      </c>
      <c r="N108" t="s">
        <v>235</v>
      </c>
      <c r="O108" t="s">
        <v>236</v>
      </c>
      <c r="P108" t="s">
        <v>194</v>
      </c>
      <c r="Q108" t="s">
        <v>120</v>
      </c>
      <c r="R108" t="s">
        <v>121</v>
      </c>
      <c r="S108" t="s">
        <v>153</v>
      </c>
      <c r="T108" t="s">
        <v>123</v>
      </c>
      <c r="U108" t="s">
        <v>124</v>
      </c>
    </row>
    <row r="109" spans="5:21" x14ac:dyDescent="0.35">
      <c r="E109" t="s">
        <v>246</v>
      </c>
      <c r="F109">
        <v>43729001</v>
      </c>
      <c r="G109">
        <v>1</v>
      </c>
      <c r="H109">
        <v>1912.15</v>
      </c>
      <c r="I109">
        <v>3399.99</v>
      </c>
      <c r="J109">
        <v>42921</v>
      </c>
      <c r="K109">
        <v>42923</v>
      </c>
      <c r="L109">
        <v>2</v>
      </c>
      <c r="M109" t="s">
        <v>247</v>
      </c>
      <c r="N109" t="s">
        <v>248</v>
      </c>
      <c r="O109" t="s">
        <v>176</v>
      </c>
      <c r="P109" t="s">
        <v>177</v>
      </c>
      <c r="Q109" t="s">
        <v>120</v>
      </c>
      <c r="R109" t="s">
        <v>130</v>
      </c>
      <c r="S109" t="s">
        <v>131</v>
      </c>
      <c r="T109" t="s">
        <v>132</v>
      </c>
      <c r="U109" t="s">
        <v>133</v>
      </c>
    </row>
    <row r="110" spans="5:21" x14ac:dyDescent="0.35">
      <c r="E110" t="s">
        <v>255</v>
      </c>
      <c r="F110">
        <v>43732001</v>
      </c>
      <c r="G110">
        <v>1</v>
      </c>
      <c r="H110">
        <v>1898.09</v>
      </c>
      <c r="I110">
        <v>3374.99</v>
      </c>
      <c r="J110">
        <v>42921</v>
      </c>
      <c r="K110">
        <v>42923</v>
      </c>
      <c r="L110">
        <v>2</v>
      </c>
      <c r="M110" t="s">
        <v>256</v>
      </c>
      <c r="N110" t="s">
        <v>257</v>
      </c>
      <c r="O110" t="s">
        <v>161</v>
      </c>
      <c r="P110" t="s">
        <v>150</v>
      </c>
      <c r="Q110" t="s">
        <v>120</v>
      </c>
      <c r="R110" t="s">
        <v>130</v>
      </c>
      <c r="S110" t="s">
        <v>258</v>
      </c>
      <c r="T110" t="s">
        <v>144</v>
      </c>
      <c r="U110" t="s">
        <v>133</v>
      </c>
    </row>
    <row r="111" spans="5:21" x14ac:dyDescent="0.35">
      <c r="E111" t="s">
        <v>267</v>
      </c>
      <c r="F111">
        <v>43736001</v>
      </c>
      <c r="G111">
        <v>1</v>
      </c>
      <c r="H111">
        <v>1912.15</v>
      </c>
      <c r="I111">
        <v>3399.99</v>
      </c>
      <c r="J111">
        <v>42921</v>
      </c>
      <c r="K111">
        <v>42923</v>
      </c>
      <c r="L111">
        <v>2</v>
      </c>
      <c r="M111" t="s">
        <v>268</v>
      </c>
      <c r="N111" t="s">
        <v>269</v>
      </c>
      <c r="O111" t="s">
        <v>270</v>
      </c>
      <c r="P111" t="s">
        <v>150</v>
      </c>
      <c r="Q111" t="s">
        <v>120</v>
      </c>
      <c r="R111" t="s">
        <v>130</v>
      </c>
      <c r="S111" t="s">
        <v>131</v>
      </c>
      <c r="T111" t="s">
        <v>132</v>
      </c>
      <c r="U111" t="s">
        <v>133</v>
      </c>
    </row>
    <row r="112" spans="5:21" x14ac:dyDescent="0.35">
      <c r="E112" t="s">
        <v>301</v>
      </c>
      <c r="F112">
        <v>43747001</v>
      </c>
      <c r="G112">
        <v>1</v>
      </c>
      <c r="H112">
        <v>2171.29</v>
      </c>
      <c r="I112">
        <v>3578.27</v>
      </c>
      <c r="J112">
        <v>42923</v>
      </c>
      <c r="K112">
        <v>42925</v>
      </c>
      <c r="L112">
        <v>2</v>
      </c>
      <c r="M112" t="s">
        <v>302</v>
      </c>
      <c r="N112" t="s">
        <v>303</v>
      </c>
      <c r="O112" t="s">
        <v>142</v>
      </c>
      <c r="P112" t="s">
        <v>138</v>
      </c>
      <c r="Q112" t="s">
        <v>120</v>
      </c>
      <c r="R112" t="s">
        <v>121</v>
      </c>
      <c r="S112" t="s">
        <v>186</v>
      </c>
      <c r="T112" t="s">
        <v>123</v>
      </c>
      <c r="U112" t="s">
        <v>124</v>
      </c>
    </row>
    <row r="113" spans="5:21" x14ac:dyDescent="0.35">
      <c r="E113" t="s">
        <v>318</v>
      </c>
      <c r="F113">
        <v>43752001</v>
      </c>
      <c r="G113">
        <v>1</v>
      </c>
      <c r="H113">
        <v>2171.29</v>
      </c>
      <c r="I113">
        <v>3578.27</v>
      </c>
      <c r="J113">
        <v>42923</v>
      </c>
      <c r="K113">
        <v>42925</v>
      </c>
      <c r="L113">
        <v>2</v>
      </c>
      <c r="M113" t="s">
        <v>319</v>
      </c>
      <c r="N113" t="s">
        <v>273</v>
      </c>
      <c r="O113" t="s">
        <v>193</v>
      </c>
      <c r="P113" t="s">
        <v>194</v>
      </c>
      <c r="Q113" t="s">
        <v>120</v>
      </c>
      <c r="R113" t="s">
        <v>121</v>
      </c>
      <c r="S113" t="s">
        <v>153</v>
      </c>
      <c r="T113" t="s">
        <v>123</v>
      </c>
      <c r="U113" t="s">
        <v>124</v>
      </c>
    </row>
    <row r="114" spans="5:21" x14ac:dyDescent="0.35">
      <c r="E114" t="s">
        <v>320</v>
      </c>
      <c r="F114">
        <v>43753001</v>
      </c>
      <c r="G114">
        <v>1</v>
      </c>
      <c r="H114">
        <v>2171.29</v>
      </c>
      <c r="I114">
        <v>3578.27</v>
      </c>
      <c r="J114">
        <v>42923</v>
      </c>
      <c r="K114">
        <v>42925</v>
      </c>
      <c r="L114">
        <v>2</v>
      </c>
      <c r="M114" t="s">
        <v>321</v>
      </c>
      <c r="N114" t="s">
        <v>232</v>
      </c>
      <c r="O114" t="s">
        <v>204</v>
      </c>
      <c r="P114" t="s">
        <v>150</v>
      </c>
      <c r="Q114" t="s">
        <v>120</v>
      </c>
      <c r="R114" t="s">
        <v>121</v>
      </c>
      <c r="S114" t="s">
        <v>122</v>
      </c>
      <c r="T114" t="s">
        <v>123</v>
      </c>
      <c r="U114" t="s">
        <v>124</v>
      </c>
    </row>
    <row r="115" spans="5:21" x14ac:dyDescent="0.35">
      <c r="E115" t="s">
        <v>351</v>
      </c>
      <c r="F115">
        <v>43765001</v>
      </c>
      <c r="G115">
        <v>1</v>
      </c>
      <c r="H115">
        <v>1912.15</v>
      </c>
      <c r="I115">
        <v>3399.99</v>
      </c>
      <c r="J115">
        <v>42925</v>
      </c>
      <c r="K115">
        <v>42927</v>
      </c>
      <c r="L115">
        <v>2</v>
      </c>
      <c r="M115" t="s">
        <v>352</v>
      </c>
      <c r="N115" t="s">
        <v>160</v>
      </c>
      <c r="O115" t="s">
        <v>161</v>
      </c>
      <c r="P115" t="s">
        <v>150</v>
      </c>
      <c r="Q115" t="s">
        <v>120</v>
      </c>
      <c r="R115" t="s">
        <v>130</v>
      </c>
      <c r="S115" t="s">
        <v>131</v>
      </c>
      <c r="T115" t="s">
        <v>132</v>
      </c>
      <c r="U115" t="s">
        <v>133</v>
      </c>
    </row>
    <row r="116" spans="5:21" x14ac:dyDescent="0.35">
      <c r="E116" t="s">
        <v>361</v>
      </c>
      <c r="F116">
        <v>43769001</v>
      </c>
      <c r="G116">
        <v>1</v>
      </c>
      <c r="H116">
        <v>2171.29</v>
      </c>
      <c r="I116">
        <v>3578.27</v>
      </c>
      <c r="J116">
        <v>42926</v>
      </c>
      <c r="K116">
        <v>42928</v>
      </c>
      <c r="L116">
        <v>2</v>
      </c>
      <c r="M116" t="s">
        <v>362</v>
      </c>
      <c r="N116" t="s">
        <v>363</v>
      </c>
      <c r="O116" t="s">
        <v>118</v>
      </c>
      <c r="P116" t="s">
        <v>119</v>
      </c>
      <c r="Q116" t="s">
        <v>120</v>
      </c>
      <c r="R116" t="s">
        <v>121</v>
      </c>
      <c r="S116" t="s">
        <v>169</v>
      </c>
      <c r="T116" t="s">
        <v>123</v>
      </c>
      <c r="U116" t="s">
        <v>124</v>
      </c>
    </row>
    <row r="117" spans="5:21" x14ac:dyDescent="0.35">
      <c r="E117" t="s">
        <v>370</v>
      </c>
      <c r="F117">
        <v>43772001</v>
      </c>
      <c r="G117">
        <v>1</v>
      </c>
      <c r="H117">
        <v>2171.29</v>
      </c>
      <c r="I117">
        <v>3578.27</v>
      </c>
      <c r="J117">
        <v>42926</v>
      </c>
      <c r="K117">
        <v>42928</v>
      </c>
      <c r="L117">
        <v>2</v>
      </c>
      <c r="M117" t="s">
        <v>371</v>
      </c>
      <c r="N117" t="s">
        <v>257</v>
      </c>
      <c r="O117" t="s">
        <v>161</v>
      </c>
      <c r="P117" t="s">
        <v>150</v>
      </c>
      <c r="Q117" t="s">
        <v>120</v>
      </c>
      <c r="R117" t="s">
        <v>121</v>
      </c>
      <c r="S117" t="s">
        <v>169</v>
      </c>
      <c r="T117" t="s">
        <v>123</v>
      </c>
      <c r="U117" t="s">
        <v>124</v>
      </c>
    </row>
    <row r="118" spans="5:21" x14ac:dyDescent="0.35">
      <c r="E118" t="s">
        <v>396</v>
      </c>
      <c r="F118">
        <v>43782001</v>
      </c>
      <c r="G118">
        <v>1</v>
      </c>
      <c r="H118">
        <v>2171.29</v>
      </c>
      <c r="I118">
        <v>3578.27</v>
      </c>
      <c r="J118">
        <v>42927</v>
      </c>
      <c r="K118">
        <v>42929</v>
      </c>
      <c r="L118">
        <v>2</v>
      </c>
      <c r="M118" t="s">
        <v>397</v>
      </c>
      <c r="N118" t="s">
        <v>398</v>
      </c>
      <c r="O118" t="s">
        <v>161</v>
      </c>
      <c r="P118" t="s">
        <v>150</v>
      </c>
      <c r="Q118" t="s">
        <v>120</v>
      </c>
      <c r="R118" t="s">
        <v>121</v>
      </c>
      <c r="S118" t="s">
        <v>169</v>
      </c>
      <c r="T118" t="s">
        <v>123</v>
      </c>
      <c r="U118" t="s">
        <v>124</v>
      </c>
    </row>
    <row r="119" spans="5:21" x14ac:dyDescent="0.35">
      <c r="E119" t="s">
        <v>412</v>
      </c>
      <c r="F119">
        <v>43788001</v>
      </c>
      <c r="G119">
        <v>1</v>
      </c>
      <c r="H119">
        <v>1898.09</v>
      </c>
      <c r="I119">
        <v>3374.99</v>
      </c>
      <c r="J119">
        <v>42928</v>
      </c>
      <c r="K119">
        <v>42930</v>
      </c>
      <c r="L119">
        <v>2</v>
      </c>
      <c r="M119" t="s">
        <v>413</v>
      </c>
      <c r="N119" t="s">
        <v>289</v>
      </c>
      <c r="O119" t="s">
        <v>176</v>
      </c>
      <c r="P119" t="s">
        <v>177</v>
      </c>
      <c r="Q119" t="s">
        <v>120</v>
      </c>
      <c r="R119" t="s">
        <v>130</v>
      </c>
      <c r="S119" t="s">
        <v>162</v>
      </c>
      <c r="T119" t="s">
        <v>144</v>
      </c>
      <c r="U119" t="s">
        <v>133</v>
      </c>
    </row>
    <row r="120" spans="5:21" x14ac:dyDescent="0.35">
      <c r="E120" t="s">
        <v>427</v>
      </c>
      <c r="F120">
        <v>43794001</v>
      </c>
      <c r="G120">
        <v>1</v>
      </c>
      <c r="H120">
        <v>1912.15</v>
      </c>
      <c r="I120">
        <v>3399.99</v>
      </c>
      <c r="J120">
        <v>42928</v>
      </c>
      <c r="K120">
        <v>42930</v>
      </c>
      <c r="L120">
        <v>2</v>
      </c>
      <c r="M120" t="s">
        <v>428</v>
      </c>
      <c r="N120" t="s">
        <v>232</v>
      </c>
      <c r="O120" t="s">
        <v>204</v>
      </c>
      <c r="P120" t="s">
        <v>150</v>
      </c>
      <c r="Q120" t="s">
        <v>120</v>
      </c>
      <c r="R120" t="s">
        <v>130</v>
      </c>
      <c r="S120" t="s">
        <v>293</v>
      </c>
      <c r="T120" t="s">
        <v>132</v>
      </c>
      <c r="U120" t="s">
        <v>133</v>
      </c>
    </row>
    <row r="121" spans="5:21" x14ac:dyDescent="0.35">
      <c r="E121"/>
      <c r="F121"/>
      <c r="G121"/>
      <c r="H121"/>
      <c r="I121"/>
      <c r="J121"/>
      <c r="K121"/>
      <c r="L121"/>
      <c r="M121"/>
      <c r="N121"/>
      <c r="O121"/>
      <c r="P121"/>
      <c r="Q121"/>
      <c r="R121"/>
      <c r="S121"/>
      <c r="T121"/>
      <c r="U121"/>
    </row>
  </sheetData>
  <conditionalFormatting sqref="C7:C11">
    <cfRule type="expression" dxfId="7" priority="2">
      <formula>$C7="X"</formula>
    </cfRule>
  </conditionalFormatting>
  <conditionalFormatting sqref="B7:B11">
    <cfRule type="expression" dxfId="6" priority="1">
      <formula>$C7="X"</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20AE0-9FFB-46FB-BA8B-5925FF2CE189}">
  <dimension ref="A1:F19"/>
  <sheetViews>
    <sheetView workbookViewId="0">
      <selection activeCell="B3" sqref="B3:F3"/>
    </sheetView>
  </sheetViews>
  <sheetFormatPr baseColWidth="10" defaultColWidth="7.109375" defaultRowHeight="15" x14ac:dyDescent="0.3"/>
  <cols>
    <col min="1" max="1" width="10.6640625" style="6" customWidth="1"/>
    <col min="2" max="6" width="10.5546875" style="6" customWidth="1"/>
    <col min="7" max="16384" width="7.109375" style="6"/>
  </cols>
  <sheetData>
    <row r="1" spans="1:6" ht="16.5" x14ac:dyDescent="0.3">
      <c r="A1" s="6" t="s">
        <v>452</v>
      </c>
    </row>
    <row r="3" spans="1:6" ht="16.5" x14ac:dyDescent="0.3">
      <c r="B3" s="6" t="s">
        <v>453</v>
      </c>
      <c r="C3" s="6" t="s">
        <v>454</v>
      </c>
      <c r="D3" s="6" t="s">
        <v>455</v>
      </c>
      <c r="E3" s="6" t="s">
        <v>456</v>
      </c>
      <c r="F3" s="6" t="s">
        <v>457</v>
      </c>
    </row>
    <row r="4" spans="1:6" ht="18" x14ac:dyDescent="0.35">
      <c r="A4" s="6" t="s">
        <v>458</v>
      </c>
      <c r="B4" s="34">
        <f>SUM(Operations:Manufacturing!B4)</f>
        <v>286500</v>
      </c>
      <c r="C4" s="34">
        <f>SUM(Operations:Manufacturing!C4)</f>
        <v>286500</v>
      </c>
      <c r="D4" s="34">
        <f>SUM(Operations:Manufacturing!D4)</f>
        <v>286500</v>
      </c>
      <c r="E4" s="34">
        <f>SUM(Operations:Manufacturing!E4)</f>
        <v>290500</v>
      </c>
      <c r="F4" s="34">
        <f>SUM(B4:E4)</f>
        <v>1150000</v>
      </c>
    </row>
    <row r="5" spans="1:6" ht="18" x14ac:dyDescent="0.35">
      <c r="A5" s="6" t="s">
        <v>459</v>
      </c>
      <c r="B5" s="34">
        <f>SUM(Operations:Manufacturing!B5)</f>
        <v>40500</v>
      </c>
      <c r="C5" s="34">
        <f>SUM(Operations:Manufacturing!C5)</f>
        <v>42525</v>
      </c>
      <c r="D5" s="34">
        <f>SUM(Operations:Manufacturing!D5)</f>
        <v>44651.25</v>
      </c>
      <c r="E5" s="34">
        <f>SUM(Operations:Manufacturing!E5)</f>
        <v>46883.8125</v>
      </c>
      <c r="F5" s="34">
        <f>SUM(B5:E5)</f>
        <v>174560.0625</v>
      </c>
    </row>
    <row r="6" spans="1:6" ht="18" x14ac:dyDescent="0.35">
      <c r="A6" s="6" t="s">
        <v>460</v>
      </c>
      <c r="B6" s="34">
        <f>SUM(Operations:Manufacturing!B6)</f>
        <v>59500</v>
      </c>
      <c r="C6" s="34">
        <f>SUM(Operations:Manufacturing!C6)</f>
        <v>62475</v>
      </c>
      <c r="D6" s="34">
        <f>SUM(Operations:Manufacturing!D6)</f>
        <v>65598.75</v>
      </c>
      <c r="E6" s="34">
        <f>SUM(Operations:Manufacturing!E6)</f>
        <v>68878.6875</v>
      </c>
      <c r="F6" s="34">
        <f>SUM(B6:E6)</f>
        <v>256452.4375</v>
      </c>
    </row>
    <row r="7" spans="1:6" ht="18" x14ac:dyDescent="0.35">
      <c r="A7" s="6" t="s">
        <v>461</v>
      </c>
      <c r="B7" s="34">
        <f>SUM(Operations:Manufacturing!B7)</f>
        <v>144000</v>
      </c>
      <c r="C7" s="34">
        <f>SUM(Operations:Manufacturing!C7)</f>
        <v>144000</v>
      </c>
      <c r="D7" s="34">
        <f>SUM(Operations:Manufacturing!D7)</f>
        <v>144000</v>
      </c>
      <c r="E7" s="34">
        <f>SUM(Operations:Manufacturing!E7)</f>
        <v>144000</v>
      </c>
      <c r="F7" s="34">
        <f>SUM(B7:E7)</f>
        <v>576000</v>
      </c>
    </row>
    <row r="8" spans="1:6" ht="16.5" x14ac:dyDescent="0.3">
      <c r="A8" s="6" t="s">
        <v>462</v>
      </c>
      <c r="B8" s="35">
        <f>SUM(B4:B7)</f>
        <v>530500</v>
      </c>
      <c r="C8" s="35">
        <f>SUM(C4:C7)</f>
        <v>535500</v>
      </c>
      <c r="D8" s="35">
        <f>SUM(D4:D7)</f>
        <v>540750</v>
      </c>
      <c r="E8" s="35">
        <f>SUM(E4:E7)</f>
        <v>550262.5</v>
      </c>
      <c r="F8" s="35">
        <f>SUM(F4:F7)</f>
        <v>2157012.5</v>
      </c>
    </row>
    <row r="9" spans="1:6" ht="18" x14ac:dyDescent="0.35">
      <c r="B9" s="36"/>
      <c r="C9" s="36"/>
      <c r="D9" s="36"/>
      <c r="E9" s="36"/>
      <c r="F9" s="36"/>
    </row>
    <row r="15" spans="1:6" ht="18" x14ac:dyDescent="0.35">
      <c r="E15" s="6" t="s">
        <v>458</v>
      </c>
      <c r="F15" s="34">
        <f>SUM(Operations:Manufacturing!F15)</f>
        <v>0</v>
      </c>
    </row>
    <row r="16" spans="1:6" ht="18" x14ac:dyDescent="0.35">
      <c r="E16" s="6" t="s">
        <v>459</v>
      </c>
      <c r="F16" s="34">
        <f>SUM(Operations:Manufacturing!F16)</f>
        <v>0</v>
      </c>
    </row>
    <row r="17" spans="2:6" ht="18" x14ac:dyDescent="0.35">
      <c r="E17" s="6" t="s">
        <v>460</v>
      </c>
      <c r="F17" s="34">
        <f>SUM(Operations:Manufacturing!F17)</f>
        <v>0</v>
      </c>
    </row>
    <row r="18" spans="2:6" ht="18" x14ac:dyDescent="0.35">
      <c r="E18" s="6" t="s">
        <v>461</v>
      </c>
      <c r="F18" s="34">
        <f>SUM(Operations:Manufacturing!F18)</f>
        <v>0</v>
      </c>
    </row>
    <row r="19" spans="2:6" ht="16.5" x14ac:dyDescent="0.3">
      <c r="B19" s="35"/>
      <c r="C19" s="35"/>
      <c r="D19" s="35"/>
      <c r="E19" s="6" t="s">
        <v>462</v>
      </c>
      <c r="F19" s="35">
        <f>SUM(F15:F18)</f>
        <v>0</v>
      </c>
    </row>
  </sheetData>
  <pageMargins left="0.75" right="0.75" top="1" bottom="1" header="0.5" footer="0.5"/>
  <pageSetup orientation="portrait"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1EA75-6DD7-448C-837B-F2FF2E46C787}">
  <dimension ref="A1:F19"/>
  <sheetViews>
    <sheetView workbookViewId="0">
      <selection activeCell="H6" sqref="H6"/>
    </sheetView>
  </sheetViews>
  <sheetFormatPr baseColWidth="10" defaultColWidth="7.109375" defaultRowHeight="15" x14ac:dyDescent="0.3"/>
  <cols>
    <col min="1" max="1" width="10.6640625" style="6" customWidth="1"/>
    <col min="2" max="4" width="10.5546875" style="6" customWidth="1"/>
    <col min="5" max="5" width="15.6640625" style="6" bestFit="1" customWidth="1"/>
    <col min="6" max="6" width="10.5546875" style="6" customWidth="1"/>
    <col min="7" max="16384" width="7.109375" style="6"/>
  </cols>
  <sheetData>
    <row r="1" spans="1:6" ht="16.5" x14ac:dyDescent="0.3">
      <c r="A1" s="6" t="s">
        <v>463</v>
      </c>
    </row>
    <row r="3" spans="1:6" ht="16.5" x14ac:dyDescent="0.3">
      <c r="B3" s="6" t="s">
        <v>453</v>
      </c>
      <c r="C3" s="6" t="s">
        <v>454</v>
      </c>
      <c r="D3" s="6" t="s">
        <v>455</v>
      </c>
      <c r="E3" s="6" t="s">
        <v>456</v>
      </c>
      <c r="F3" s="6" t="s">
        <v>457</v>
      </c>
    </row>
    <row r="4" spans="1:6" ht="18" x14ac:dyDescent="0.35">
      <c r="A4" s="6" t="s">
        <v>458</v>
      </c>
      <c r="B4" s="34">
        <v>128500</v>
      </c>
      <c r="C4" s="34">
        <v>128500</v>
      </c>
      <c r="D4" s="34">
        <v>128500</v>
      </c>
      <c r="E4" s="34">
        <v>132500</v>
      </c>
      <c r="F4" s="34">
        <f>SUM(B4:E4)</f>
        <v>518000</v>
      </c>
    </row>
    <row r="5" spans="1:6" ht="18" x14ac:dyDescent="0.35">
      <c r="A5" s="6" t="s">
        <v>459</v>
      </c>
      <c r="B5" s="34">
        <v>18500</v>
      </c>
      <c r="C5" s="34">
        <f t="shared" ref="C5:E6" si="0">B5*105%</f>
        <v>19425</v>
      </c>
      <c r="D5" s="34">
        <f t="shared" si="0"/>
        <v>20396.25</v>
      </c>
      <c r="E5" s="40">
        <f t="shared" si="0"/>
        <v>21416.0625</v>
      </c>
      <c r="F5" s="34">
        <f>SUM(B5:E5)</f>
        <v>79737.3125</v>
      </c>
    </row>
    <row r="6" spans="1:6" ht="18" x14ac:dyDescent="0.35">
      <c r="A6" s="6" t="s">
        <v>460</v>
      </c>
      <c r="B6" s="34">
        <v>16000</v>
      </c>
      <c r="C6" s="34">
        <f t="shared" si="0"/>
        <v>16800</v>
      </c>
      <c r="D6" s="34">
        <f t="shared" si="0"/>
        <v>17640</v>
      </c>
      <c r="E6" s="34">
        <f t="shared" si="0"/>
        <v>18522</v>
      </c>
      <c r="F6" s="34">
        <f>SUM(B6:E6)</f>
        <v>68962</v>
      </c>
    </row>
    <row r="7" spans="1:6" ht="18" x14ac:dyDescent="0.35">
      <c r="A7" s="6" t="s">
        <v>461</v>
      </c>
      <c r="B7" s="34">
        <v>23000</v>
      </c>
      <c r="C7" s="34">
        <v>23000</v>
      </c>
      <c r="D7" s="34">
        <v>23000</v>
      </c>
      <c r="E7" s="34">
        <v>23000</v>
      </c>
      <c r="F7" s="34">
        <f>SUM(B7:E7)</f>
        <v>92000</v>
      </c>
    </row>
    <row r="8" spans="1:6" ht="16.5" x14ac:dyDescent="0.3">
      <c r="A8" s="6" t="s">
        <v>462</v>
      </c>
      <c r="B8" s="35">
        <f>SUM(B4:B7)</f>
        <v>186000</v>
      </c>
      <c r="C8" s="35">
        <f>SUM(C4:C7)</f>
        <v>187725</v>
      </c>
      <c r="D8" s="35">
        <f>SUM(D4:D7)</f>
        <v>189536.25</v>
      </c>
      <c r="E8" s="35">
        <f>SUM(E4:E7)</f>
        <v>195438.0625</v>
      </c>
      <c r="F8" s="35">
        <f>SUM(F4:F7)</f>
        <v>758699.3125</v>
      </c>
    </row>
    <row r="9" spans="1:6" ht="18" x14ac:dyDescent="0.35">
      <c r="B9" s="36"/>
      <c r="C9" s="36"/>
      <c r="D9" s="36"/>
      <c r="E9" s="36"/>
      <c r="F9" s="36"/>
    </row>
    <row r="19" spans="2:6" ht="16.5" x14ac:dyDescent="0.3">
      <c r="B19" s="35"/>
      <c r="C19" s="35"/>
      <c r="D19" s="35"/>
      <c r="E19" s="35"/>
      <c r="F19" s="35"/>
    </row>
  </sheetData>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0A84D-9D40-43AB-997C-B839FFE517FE}">
  <dimension ref="A1:F19"/>
  <sheetViews>
    <sheetView workbookViewId="0">
      <selection activeCell="G6" sqref="G6"/>
    </sheetView>
  </sheetViews>
  <sheetFormatPr baseColWidth="10" defaultColWidth="7.109375" defaultRowHeight="15" x14ac:dyDescent="0.3"/>
  <cols>
    <col min="1" max="1" width="10.6640625" style="6" customWidth="1"/>
    <col min="2" max="6" width="10.5546875" style="6" customWidth="1"/>
    <col min="7" max="16384" width="7.109375" style="6"/>
  </cols>
  <sheetData>
    <row r="1" spans="1:6" ht="16.5" x14ac:dyDescent="0.3">
      <c r="A1" s="6" t="s">
        <v>464</v>
      </c>
    </row>
    <row r="3" spans="1:6" ht="16.5" x14ac:dyDescent="0.3">
      <c r="B3" s="6" t="s">
        <v>453</v>
      </c>
      <c r="C3" s="6" t="s">
        <v>454</v>
      </c>
      <c r="D3" s="6" t="s">
        <v>455</v>
      </c>
      <c r="E3" s="6" t="s">
        <v>456</v>
      </c>
      <c r="F3" s="6" t="s">
        <v>457</v>
      </c>
    </row>
    <row r="4" spans="1:6" ht="18" x14ac:dyDescent="0.35">
      <c r="A4" s="6" t="s">
        <v>458</v>
      </c>
      <c r="B4" s="34">
        <v>120000</v>
      </c>
      <c r="C4" s="34">
        <v>120000</v>
      </c>
      <c r="D4" s="34">
        <v>120000</v>
      </c>
      <c r="E4" s="34">
        <v>120000</v>
      </c>
      <c r="F4" s="34">
        <f>SUM(B4:E4)</f>
        <v>480000</v>
      </c>
    </row>
    <row r="5" spans="1:6" ht="18" x14ac:dyDescent="0.35">
      <c r="A5" s="6" t="s">
        <v>459</v>
      </c>
      <c r="B5" s="34">
        <v>10000</v>
      </c>
      <c r="C5" s="34">
        <f t="shared" ref="C5:E6" si="0">B5*105%</f>
        <v>10500</v>
      </c>
      <c r="D5" s="34">
        <f t="shared" si="0"/>
        <v>11025</v>
      </c>
      <c r="E5" s="34">
        <f t="shared" si="0"/>
        <v>11576.25</v>
      </c>
      <c r="F5" s="34">
        <f>SUM(B5:E5)</f>
        <v>43101.25</v>
      </c>
    </row>
    <row r="6" spans="1:6" ht="18" x14ac:dyDescent="0.35">
      <c r="A6" s="6" t="s">
        <v>460</v>
      </c>
      <c r="B6" s="34">
        <v>11000</v>
      </c>
      <c r="C6" s="34">
        <f t="shared" si="0"/>
        <v>11550</v>
      </c>
      <c r="D6" s="34">
        <f t="shared" si="0"/>
        <v>12127.5</v>
      </c>
      <c r="E6" s="34">
        <f t="shared" si="0"/>
        <v>12733.875</v>
      </c>
      <c r="F6" s="34">
        <f>SUM(B6:E6)</f>
        <v>47411.375</v>
      </c>
    </row>
    <row r="7" spans="1:6" ht="18" x14ac:dyDescent="0.35">
      <c r="A7" s="6" t="s">
        <v>461</v>
      </c>
      <c r="B7" s="34">
        <v>29000</v>
      </c>
      <c r="C7" s="34">
        <v>29000</v>
      </c>
      <c r="D7" s="34">
        <v>29000</v>
      </c>
      <c r="E7" s="34">
        <v>29000</v>
      </c>
      <c r="F7" s="34">
        <f>SUM(B7:E7)</f>
        <v>116000</v>
      </c>
    </row>
    <row r="8" spans="1:6" ht="16.5" x14ac:dyDescent="0.3">
      <c r="A8" s="6" t="s">
        <v>462</v>
      </c>
      <c r="B8" s="35">
        <f>SUM(B4:B7)</f>
        <v>170000</v>
      </c>
      <c r="C8" s="35">
        <f>SUM(C4:C7)</f>
        <v>171050</v>
      </c>
      <c r="D8" s="35">
        <f>SUM(D4:D7)</f>
        <v>172152.5</v>
      </c>
      <c r="E8" s="35">
        <f>SUM(E4:E7)</f>
        <v>173310.125</v>
      </c>
      <c r="F8" s="35">
        <f>SUM(F4:F7)</f>
        <v>686512.625</v>
      </c>
    </row>
    <row r="9" spans="1:6" ht="18" x14ac:dyDescent="0.35">
      <c r="B9" s="36"/>
      <c r="C9" s="36"/>
      <c r="D9" s="36"/>
      <c r="E9" s="36"/>
      <c r="F9" s="36"/>
    </row>
    <row r="19" spans="2:6" ht="16.5" x14ac:dyDescent="0.3">
      <c r="B19" s="35"/>
      <c r="C19" s="35"/>
      <c r="D19" s="35"/>
      <c r="E19" s="35"/>
      <c r="F19" s="35"/>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CB70A-644D-46D9-AF30-7AC4E74600BB}">
  <dimension ref="A1:F19"/>
  <sheetViews>
    <sheetView workbookViewId="0">
      <selection activeCell="F7" sqref="A4:F7"/>
    </sheetView>
  </sheetViews>
  <sheetFormatPr baseColWidth="10" defaultColWidth="7.109375" defaultRowHeight="15" x14ac:dyDescent="0.3"/>
  <cols>
    <col min="1" max="1" width="10.6640625" style="6" customWidth="1"/>
    <col min="2" max="6" width="10.5546875" style="6" customWidth="1"/>
    <col min="7" max="16384" width="7.109375" style="6"/>
  </cols>
  <sheetData>
    <row r="1" spans="1:6" ht="16.5" x14ac:dyDescent="0.3">
      <c r="A1" s="6" t="s">
        <v>465</v>
      </c>
    </row>
    <row r="3" spans="1:6" ht="16.5" x14ac:dyDescent="0.3">
      <c r="B3" s="6" t="s">
        <v>453</v>
      </c>
      <c r="C3" s="6" t="s">
        <v>454</v>
      </c>
      <c r="D3" s="6" t="s">
        <v>455</v>
      </c>
      <c r="E3" s="6" t="s">
        <v>456</v>
      </c>
      <c r="F3" s="6" t="s">
        <v>457</v>
      </c>
    </row>
    <row r="4" spans="1:6" ht="18" x14ac:dyDescent="0.35">
      <c r="A4" s="6" t="s">
        <v>458</v>
      </c>
      <c r="B4" s="34">
        <v>38000</v>
      </c>
      <c r="C4" s="34">
        <v>38000</v>
      </c>
      <c r="D4" s="34">
        <v>38000</v>
      </c>
      <c r="E4" s="34">
        <v>38000</v>
      </c>
      <c r="F4" s="34">
        <f>SUM(B4:E4)</f>
        <v>152000</v>
      </c>
    </row>
    <row r="5" spans="1:6" ht="18" x14ac:dyDescent="0.35">
      <c r="A5" s="6" t="s">
        <v>459</v>
      </c>
      <c r="B5" s="34">
        <v>12000</v>
      </c>
      <c r="C5" s="34">
        <f t="shared" ref="C5:E6" si="0">B5*105%</f>
        <v>12600</v>
      </c>
      <c r="D5" s="34">
        <f t="shared" si="0"/>
        <v>13230</v>
      </c>
      <c r="E5" s="34">
        <f t="shared" si="0"/>
        <v>13891.5</v>
      </c>
      <c r="F5" s="34">
        <f>SUM(B5:E5)</f>
        <v>51721.5</v>
      </c>
    </row>
    <row r="6" spans="1:6" ht="18" x14ac:dyDescent="0.35">
      <c r="A6" s="6" t="s">
        <v>460</v>
      </c>
      <c r="B6" s="34">
        <v>32500</v>
      </c>
      <c r="C6" s="34">
        <f t="shared" si="0"/>
        <v>34125</v>
      </c>
      <c r="D6" s="34">
        <f t="shared" si="0"/>
        <v>35831.25</v>
      </c>
      <c r="E6" s="34">
        <f t="shared" si="0"/>
        <v>37622.8125</v>
      </c>
      <c r="F6" s="34">
        <f>SUM(B6:E6)</f>
        <v>140079.0625</v>
      </c>
    </row>
    <row r="7" spans="1:6" ht="18" x14ac:dyDescent="0.35">
      <c r="A7" s="6" t="s">
        <v>461</v>
      </c>
      <c r="B7" s="34">
        <v>92000</v>
      </c>
      <c r="C7" s="34">
        <v>92000</v>
      </c>
      <c r="D7" s="34">
        <v>92000</v>
      </c>
      <c r="E7" s="34">
        <v>92000</v>
      </c>
      <c r="F7" s="34">
        <f>SUM(B7:E7)</f>
        <v>368000</v>
      </c>
    </row>
    <row r="8" spans="1:6" ht="16.5" x14ac:dyDescent="0.3">
      <c r="A8" s="6" t="s">
        <v>462</v>
      </c>
      <c r="B8" s="35">
        <f>SUM(B4:B7)</f>
        <v>174500</v>
      </c>
      <c r="C8" s="35">
        <f>SUM(C4:C7)</f>
        <v>176725</v>
      </c>
      <c r="D8" s="35">
        <f>SUM(D4:D7)</f>
        <v>179061.25</v>
      </c>
      <c r="E8" s="35">
        <f>SUM(E4:E7)</f>
        <v>181514.3125</v>
      </c>
      <c r="F8" s="35">
        <f>SUM(F4:F7)</f>
        <v>711800.5625</v>
      </c>
    </row>
    <row r="9" spans="1:6" ht="18" x14ac:dyDescent="0.35">
      <c r="B9" s="36"/>
      <c r="C9" s="36"/>
      <c r="D9" s="36"/>
      <c r="E9" s="36"/>
      <c r="F9" s="36"/>
    </row>
    <row r="19" spans="2:6" ht="16.5" x14ac:dyDescent="0.3">
      <c r="B19" s="35"/>
      <c r="C19" s="35"/>
      <c r="D19" s="35"/>
      <c r="E19" s="35"/>
      <c r="F19" s="35"/>
    </row>
  </sheetData>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90D73-7032-4BCF-9EFC-51D7CB81A8E5}">
  <dimension ref="B2:E11"/>
  <sheetViews>
    <sheetView showGridLines="0" zoomScale="90" zoomScaleNormal="90" workbookViewId="0">
      <selection activeCell="B2" sqref="B2:C10"/>
    </sheetView>
  </sheetViews>
  <sheetFormatPr baseColWidth="10" defaultRowHeight="18" x14ac:dyDescent="0.35"/>
  <cols>
    <col min="1" max="1" width="1.6640625" customWidth="1"/>
    <col min="2" max="2" width="33.109375" customWidth="1"/>
  </cols>
  <sheetData>
    <row r="2" spans="2:5" ht="22.5" x14ac:dyDescent="0.45">
      <c r="B2" s="1" t="s">
        <v>479</v>
      </c>
    </row>
    <row r="3" spans="2:5" x14ac:dyDescent="0.35">
      <c r="B3" s="4" t="s">
        <v>480</v>
      </c>
    </row>
    <row r="4" spans="2:5" x14ac:dyDescent="0.35">
      <c r="B4" s="4" t="s">
        <v>481</v>
      </c>
    </row>
    <row r="5" spans="2:5" x14ac:dyDescent="0.35">
      <c r="B5" s="4"/>
    </row>
    <row r="6" spans="2:5" x14ac:dyDescent="0.35">
      <c r="B6" s="29" t="s">
        <v>0</v>
      </c>
      <c r="C6" s="29" t="s">
        <v>1</v>
      </c>
      <c r="E6" t="s">
        <v>486</v>
      </c>
    </row>
    <row r="7" spans="2:5" x14ac:dyDescent="0.35">
      <c r="B7" s="4" t="s">
        <v>482</v>
      </c>
      <c r="C7" s="3" t="s">
        <v>60</v>
      </c>
      <c r="E7">
        <v>100</v>
      </c>
    </row>
    <row r="8" spans="2:5" x14ac:dyDescent="0.35">
      <c r="B8" s="4" t="s">
        <v>483</v>
      </c>
      <c r="C8" s="3" t="s">
        <v>59</v>
      </c>
      <c r="E8">
        <v>200</v>
      </c>
    </row>
    <row r="9" spans="2:5" x14ac:dyDescent="0.35">
      <c r="B9" s="4" t="s">
        <v>484</v>
      </c>
      <c r="C9" s="3" t="s">
        <v>60</v>
      </c>
      <c r="E9">
        <v>300</v>
      </c>
    </row>
    <row r="10" spans="2:5" x14ac:dyDescent="0.35">
      <c r="B10" s="4" t="s">
        <v>485</v>
      </c>
      <c r="C10" s="3" t="s">
        <v>60</v>
      </c>
      <c r="E10">
        <v>400</v>
      </c>
    </row>
    <row r="11" spans="2:5" x14ac:dyDescent="0.35">
      <c r="B11" s="4"/>
      <c r="C11" s="3"/>
      <c r="E11">
        <v>500</v>
      </c>
    </row>
  </sheetData>
  <conditionalFormatting sqref="C7:C11">
    <cfRule type="expression" dxfId="5" priority="2">
      <formula>$C7="X"</formula>
    </cfRule>
  </conditionalFormatting>
  <conditionalFormatting sqref="B7:B11">
    <cfRule type="expression" dxfId="4" priority="1">
      <formula>$C7="X"</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9F621-B7DC-4898-B749-1CA12F0CB84A}">
  <dimension ref="B2:F10"/>
  <sheetViews>
    <sheetView showGridLines="0" workbookViewId="0">
      <selection activeCell="C10" sqref="C10"/>
    </sheetView>
  </sheetViews>
  <sheetFormatPr baseColWidth="10" defaultRowHeight="18" x14ac:dyDescent="0.35"/>
  <cols>
    <col min="1" max="1" width="2.77734375" customWidth="1"/>
    <col min="2" max="2" width="25.44140625" customWidth="1"/>
    <col min="5" max="5" width="17.33203125" customWidth="1"/>
  </cols>
  <sheetData>
    <row r="2" spans="2:6" ht="22.5" x14ac:dyDescent="0.45">
      <c r="B2" s="1" t="s">
        <v>487</v>
      </c>
    </row>
    <row r="3" spans="2:6" x14ac:dyDescent="0.35">
      <c r="B3" s="4" t="s">
        <v>492</v>
      </c>
    </row>
    <row r="4" spans="2:6" x14ac:dyDescent="0.35">
      <c r="B4" s="4" t="s">
        <v>491</v>
      </c>
    </row>
    <row r="5" spans="2:6" x14ac:dyDescent="0.35">
      <c r="B5" s="4"/>
    </row>
    <row r="6" spans="2:6" x14ac:dyDescent="0.35">
      <c r="B6" s="29" t="s">
        <v>0</v>
      </c>
      <c r="C6" s="29" t="s">
        <v>1</v>
      </c>
    </row>
    <row r="7" spans="2:6" x14ac:dyDescent="0.35">
      <c r="B7" t="s">
        <v>488</v>
      </c>
      <c r="C7" s="3" t="s">
        <v>60</v>
      </c>
      <c r="E7" t="s">
        <v>500</v>
      </c>
      <c r="F7" t="s">
        <v>502</v>
      </c>
    </row>
    <row r="8" spans="2:6" x14ac:dyDescent="0.35">
      <c r="B8" t="s">
        <v>489</v>
      </c>
      <c r="C8" s="3" t="s">
        <v>60</v>
      </c>
      <c r="E8" t="s">
        <v>501</v>
      </c>
      <c r="F8" t="s">
        <v>503</v>
      </c>
    </row>
    <row r="9" spans="2:6" x14ac:dyDescent="0.35">
      <c r="B9" t="s">
        <v>504</v>
      </c>
      <c r="C9" s="3" t="s">
        <v>60</v>
      </c>
    </row>
    <row r="10" spans="2:6" x14ac:dyDescent="0.35">
      <c r="B10" t="s">
        <v>490</v>
      </c>
      <c r="C10" s="3" t="s">
        <v>60</v>
      </c>
    </row>
  </sheetData>
  <protectedRanges>
    <protectedRange sqref="C7:C10" name="Check"/>
  </protectedRanges>
  <conditionalFormatting sqref="C7:C10">
    <cfRule type="expression" dxfId="3" priority="3">
      <formula>$C7="X"</formula>
    </cfRule>
  </conditionalFormatting>
  <conditionalFormatting sqref="B7:B10">
    <cfRule type="expression" dxfId="2" priority="1">
      <formula>$C7="X"</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C554E-BD43-4851-8DF9-781CE3CB050C}">
  <dimension ref="B2:U106"/>
  <sheetViews>
    <sheetView showGridLines="0" zoomScale="90" zoomScaleNormal="90" zoomScaleSheetLayoutView="50" zoomScalePageLayoutView="70" workbookViewId="0">
      <selection activeCell="C7" sqref="C7:C9"/>
    </sheetView>
  </sheetViews>
  <sheetFormatPr baseColWidth="10" defaultRowHeight="18" x14ac:dyDescent="0.35"/>
  <cols>
    <col min="1" max="1" width="3.44140625" customWidth="1"/>
    <col min="2" max="2" width="25.44140625" customWidth="1"/>
  </cols>
  <sheetData>
    <row r="2" spans="2:21" ht="22.5" x14ac:dyDescent="0.45">
      <c r="B2" s="1" t="s">
        <v>493</v>
      </c>
    </row>
    <row r="3" spans="2:21" x14ac:dyDescent="0.35">
      <c r="B3" s="4" t="s">
        <v>498</v>
      </c>
    </row>
    <row r="4" spans="2:21" x14ac:dyDescent="0.35">
      <c r="B4" s="4" t="s">
        <v>499</v>
      </c>
    </row>
    <row r="5" spans="2:21" x14ac:dyDescent="0.35">
      <c r="B5" s="4"/>
    </row>
    <row r="6" spans="2:21" x14ac:dyDescent="0.35">
      <c r="B6" s="29" t="s">
        <v>0</v>
      </c>
      <c r="C6" s="29" t="s">
        <v>1</v>
      </c>
      <c r="E6" s="28" t="s">
        <v>98</v>
      </c>
      <c r="F6" s="28" t="s">
        <v>99</v>
      </c>
      <c r="G6" s="28" t="s">
        <v>100</v>
      </c>
      <c r="H6" s="28" t="s">
        <v>101</v>
      </c>
      <c r="I6" s="28" t="s">
        <v>102</v>
      </c>
      <c r="J6" s="28" t="s">
        <v>103</v>
      </c>
      <c r="K6" s="28" t="s">
        <v>104</v>
      </c>
      <c r="L6" s="28" t="s">
        <v>105</v>
      </c>
      <c r="M6" s="28" t="s">
        <v>106</v>
      </c>
      <c r="N6" s="28" t="s">
        <v>107</v>
      </c>
      <c r="O6" s="28" t="s">
        <v>108</v>
      </c>
      <c r="P6" s="28" t="s">
        <v>109</v>
      </c>
      <c r="Q6" s="28" t="s">
        <v>110</v>
      </c>
      <c r="R6" s="28" t="s">
        <v>111</v>
      </c>
      <c r="S6" s="28" t="s">
        <v>112</v>
      </c>
      <c r="T6" s="28" t="s">
        <v>113</v>
      </c>
      <c r="U6" s="28" t="s">
        <v>114</v>
      </c>
    </row>
    <row r="7" spans="2:21" x14ac:dyDescent="0.35">
      <c r="B7" t="s">
        <v>494</v>
      </c>
      <c r="C7" s="3" t="s">
        <v>59</v>
      </c>
      <c r="E7" t="s">
        <v>125</v>
      </c>
      <c r="F7">
        <v>43698001</v>
      </c>
      <c r="G7">
        <v>1</v>
      </c>
      <c r="H7">
        <v>1912.15</v>
      </c>
      <c r="I7">
        <v>3399.99</v>
      </c>
      <c r="J7">
        <v>42917</v>
      </c>
      <c r="K7">
        <v>42927</v>
      </c>
      <c r="L7">
        <v>10</v>
      </c>
      <c r="M7" t="s">
        <v>126</v>
      </c>
      <c r="N7" t="s">
        <v>127</v>
      </c>
      <c r="O7" t="s">
        <v>128</v>
      </c>
      <c r="P7" t="s">
        <v>129</v>
      </c>
      <c r="Q7" t="s">
        <v>120</v>
      </c>
      <c r="R7" t="s">
        <v>130</v>
      </c>
      <c r="S7" t="s">
        <v>131</v>
      </c>
      <c r="T7" t="s">
        <v>132</v>
      </c>
      <c r="U7" t="s">
        <v>133</v>
      </c>
    </row>
    <row r="8" spans="2:21" x14ac:dyDescent="0.35">
      <c r="B8" t="s">
        <v>495</v>
      </c>
      <c r="C8" s="3" t="s">
        <v>59</v>
      </c>
      <c r="E8" t="s">
        <v>146</v>
      </c>
      <c r="F8">
        <v>43701001</v>
      </c>
      <c r="G8">
        <v>1</v>
      </c>
      <c r="H8">
        <v>1912.15</v>
      </c>
      <c r="I8">
        <v>3399.99</v>
      </c>
      <c r="J8">
        <v>42917</v>
      </c>
      <c r="K8">
        <v>42927</v>
      </c>
      <c r="L8">
        <v>10</v>
      </c>
      <c r="M8" t="s">
        <v>147</v>
      </c>
      <c r="N8" t="s">
        <v>148</v>
      </c>
      <c r="O8" t="s">
        <v>149</v>
      </c>
      <c r="P8" t="s">
        <v>150</v>
      </c>
      <c r="Q8" t="s">
        <v>120</v>
      </c>
      <c r="R8" t="s">
        <v>130</v>
      </c>
      <c r="S8" t="s">
        <v>131</v>
      </c>
      <c r="T8" t="s">
        <v>132</v>
      </c>
      <c r="U8" t="s">
        <v>133</v>
      </c>
    </row>
    <row r="9" spans="2:21" x14ac:dyDescent="0.35">
      <c r="B9" t="s">
        <v>496</v>
      </c>
      <c r="C9" s="3" t="s">
        <v>59</v>
      </c>
      <c r="E9" t="s">
        <v>187</v>
      </c>
      <c r="F9">
        <v>43711001</v>
      </c>
      <c r="G9">
        <v>1</v>
      </c>
      <c r="H9">
        <v>2171.29</v>
      </c>
      <c r="I9">
        <v>3578.27</v>
      </c>
      <c r="J9">
        <v>42918</v>
      </c>
      <c r="K9">
        <v>42928</v>
      </c>
      <c r="L9">
        <v>10</v>
      </c>
      <c r="M9" t="s">
        <v>188</v>
      </c>
      <c r="N9" t="s">
        <v>189</v>
      </c>
      <c r="O9" t="s">
        <v>137</v>
      </c>
      <c r="P9" t="s">
        <v>138</v>
      </c>
      <c r="Q9" t="s">
        <v>120</v>
      </c>
      <c r="R9" t="s">
        <v>121</v>
      </c>
      <c r="S9" t="s">
        <v>186</v>
      </c>
      <c r="T9" t="s">
        <v>123</v>
      </c>
      <c r="U9" t="s">
        <v>124</v>
      </c>
    </row>
    <row r="10" spans="2:21" x14ac:dyDescent="0.35">
      <c r="B10" t="s">
        <v>497</v>
      </c>
      <c r="C10" s="3" t="s">
        <v>60</v>
      </c>
      <c r="E10" t="s">
        <v>249</v>
      </c>
      <c r="F10">
        <v>43730001</v>
      </c>
      <c r="G10">
        <v>1</v>
      </c>
      <c r="H10">
        <v>1912.15</v>
      </c>
      <c r="I10">
        <v>3399.99</v>
      </c>
      <c r="J10">
        <v>42921</v>
      </c>
      <c r="K10">
        <v>42931</v>
      </c>
      <c r="L10">
        <v>10</v>
      </c>
      <c r="M10" t="s">
        <v>250</v>
      </c>
      <c r="N10" t="s">
        <v>251</v>
      </c>
      <c r="O10" t="s">
        <v>142</v>
      </c>
      <c r="P10" t="s">
        <v>138</v>
      </c>
      <c r="Q10" t="s">
        <v>120</v>
      </c>
      <c r="R10" t="s">
        <v>130</v>
      </c>
      <c r="S10" t="s">
        <v>131</v>
      </c>
      <c r="T10" t="s">
        <v>132</v>
      </c>
      <c r="U10" t="s">
        <v>133</v>
      </c>
    </row>
    <row r="11" spans="2:21" x14ac:dyDescent="0.35">
      <c r="E11" t="s">
        <v>259</v>
      </c>
      <c r="F11">
        <v>43733001</v>
      </c>
      <c r="G11">
        <v>1</v>
      </c>
      <c r="H11">
        <v>2171.29</v>
      </c>
      <c r="I11">
        <v>3578.27</v>
      </c>
      <c r="J11">
        <v>42921</v>
      </c>
      <c r="K11">
        <v>42931</v>
      </c>
      <c r="L11">
        <v>10</v>
      </c>
      <c r="M11" t="s">
        <v>260</v>
      </c>
      <c r="N11" t="s">
        <v>261</v>
      </c>
      <c r="O11" t="s">
        <v>213</v>
      </c>
      <c r="P11" t="s">
        <v>138</v>
      </c>
      <c r="Q11" t="s">
        <v>120</v>
      </c>
      <c r="R11" t="s">
        <v>121</v>
      </c>
      <c r="S11" t="s">
        <v>169</v>
      </c>
      <c r="T11" t="s">
        <v>123</v>
      </c>
      <c r="U11" t="s">
        <v>124</v>
      </c>
    </row>
    <row r="12" spans="2:21" x14ac:dyDescent="0.35">
      <c r="E12" t="s">
        <v>290</v>
      </c>
      <c r="F12">
        <v>43743001</v>
      </c>
      <c r="G12">
        <v>1</v>
      </c>
      <c r="H12">
        <v>1912.15</v>
      </c>
      <c r="I12">
        <v>3399.99</v>
      </c>
      <c r="J12">
        <v>42922</v>
      </c>
      <c r="K12">
        <v>42932</v>
      </c>
      <c r="L12">
        <v>10</v>
      </c>
      <c r="M12" t="s">
        <v>291</v>
      </c>
      <c r="N12" t="s">
        <v>292</v>
      </c>
      <c r="O12" t="s">
        <v>204</v>
      </c>
      <c r="P12" t="s">
        <v>150</v>
      </c>
      <c r="Q12" t="s">
        <v>120</v>
      </c>
      <c r="R12" t="s">
        <v>130</v>
      </c>
      <c r="S12" t="s">
        <v>293</v>
      </c>
      <c r="T12" t="s">
        <v>132</v>
      </c>
      <c r="U12" t="s">
        <v>133</v>
      </c>
    </row>
    <row r="13" spans="2:21" x14ac:dyDescent="0.35">
      <c r="E13" t="s">
        <v>344</v>
      </c>
      <c r="F13">
        <v>43762001</v>
      </c>
      <c r="G13">
        <v>1</v>
      </c>
      <c r="H13">
        <v>2171.29</v>
      </c>
      <c r="I13">
        <v>3578.27</v>
      </c>
      <c r="J13">
        <v>42925</v>
      </c>
      <c r="K13">
        <v>42935</v>
      </c>
      <c r="L13">
        <v>10</v>
      </c>
      <c r="M13" t="s">
        <v>345</v>
      </c>
      <c r="N13" t="s">
        <v>346</v>
      </c>
      <c r="O13" t="s">
        <v>142</v>
      </c>
      <c r="P13" t="s">
        <v>138</v>
      </c>
      <c r="Q13" t="s">
        <v>120</v>
      </c>
      <c r="R13" t="s">
        <v>121</v>
      </c>
      <c r="S13" t="s">
        <v>186</v>
      </c>
      <c r="T13" t="s">
        <v>123</v>
      </c>
      <c r="U13" t="s">
        <v>124</v>
      </c>
    </row>
    <row r="14" spans="2:21" x14ac:dyDescent="0.35">
      <c r="E14" t="s">
        <v>358</v>
      </c>
      <c r="F14">
        <v>43768001</v>
      </c>
      <c r="G14">
        <v>1</v>
      </c>
      <c r="H14">
        <v>2171.29</v>
      </c>
      <c r="I14">
        <v>3578.27</v>
      </c>
      <c r="J14">
        <v>42926</v>
      </c>
      <c r="K14">
        <v>42936</v>
      </c>
      <c r="L14">
        <v>10</v>
      </c>
      <c r="M14" t="s">
        <v>359</v>
      </c>
      <c r="N14" t="s">
        <v>360</v>
      </c>
      <c r="O14" t="s">
        <v>213</v>
      </c>
      <c r="P14" t="s">
        <v>138</v>
      </c>
      <c r="Q14" t="s">
        <v>120</v>
      </c>
      <c r="R14" t="s">
        <v>121</v>
      </c>
      <c r="S14" t="s">
        <v>169</v>
      </c>
      <c r="T14" t="s">
        <v>123</v>
      </c>
      <c r="U14" t="s">
        <v>124</v>
      </c>
    </row>
    <row r="15" spans="2:21" x14ac:dyDescent="0.35">
      <c r="E15" t="s">
        <v>378</v>
      </c>
      <c r="F15">
        <v>43776001</v>
      </c>
      <c r="G15">
        <v>1</v>
      </c>
      <c r="H15">
        <v>2171.29</v>
      </c>
      <c r="I15">
        <v>3578.27</v>
      </c>
      <c r="J15">
        <v>42926</v>
      </c>
      <c r="K15">
        <v>42936</v>
      </c>
      <c r="L15">
        <v>10</v>
      </c>
      <c r="M15" t="s">
        <v>379</v>
      </c>
      <c r="N15" t="s">
        <v>380</v>
      </c>
      <c r="O15" t="s">
        <v>381</v>
      </c>
      <c r="P15" t="s">
        <v>194</v>
      </c>
      <c r="Q15" t="s">
        <v>120</v>
      </c>
      <c r="R15" t="s">
        <v>121</v>
      </c>
      <c r="S15" t="s">
        <v>186</v>
      </c>
      <c r="T15" t="s">
        <v>123</v>
      </c>
      <c r="U15" t="s">
        <v>124</v>
      </c>
    </row>
    <row r="16" spans="2:21" x14ac:dyDescent="0.35">
      <c r="E16" t="s">
        <v>422</v>
      </c>
      <c r="F16">
        <v>43792001</v>
      </c>
      <c r="G16">
        <v>1</v>
      </c>
      <c r="H16">
        <v>2171.29</v>
      </c>
      <c r="I16">
        <v>3578.27</v>
      </c>
      <c r="J16">
        <v>42928</v>
      </c>
      <c r="K16">
        <v>42938</v>
      </c>
      <c r="L16">
        <v>10</v>
      </c>
      <c r="M16" t="s">
        <v>423</v>
      </c>
      <c r="N16" t="s">
        <v>424</v>
      </c>
      <c r="O16" t="s">
        <v>149</v>
      </c>
      <c r="P16" t="s">
        <v>150</v>
      </c>
      <c r="Q16" t="s">
        <v>120</v>
      </c>
      <c r="R16" t="s">
        <v>121</v>
      </c>
      <c r="S16" t="s">
        <v>169</v>
      </c>
      <c r="T16" t="s">
        <v>123</v>
      </c>
      <c r="U16" t="s">
        <v>124</v>
      </c>
    </row>
    <row r="17" spans="5:21" x14ac:dyDescent="0.35">
      <c r="E17" t="s">
        <v>432</v>
      </c>
      <c r="F17">
        <v>43796001</v>
      </c>
      <c r="G17">
        <v>1</v>
      </c>
      <c r="H17">
        <v>413.15</v>
      </c>
      <c r="I17">
        <v>699.1</v>
      </c>
      <c r="J17">
        <v>42929</v>
      </c>
      <c r="K17">
        <v>42939</v>
      </c>
      <c r="L17">
        <v>10</v>
      </c>
      <c r="M17" t="s">
        <v>433</v>
      </c>
      <c r="N17" t="s">
        <v>434</v>
      </c>
      <c r="O17" t="s">
        <v>435</v>
      </c>
      <c r="P17" t="s">
        <v>129</v>
      </c>
      <c r="Q17" t="s">
        <v>120</v>
      </c>
      <c r="R17" t="s">
        <v>121</v>
      </c>
      <c r="S17" t="s">
        <v>436</v>
      </c>
      <c r="T17" t="s">
        <v>144</v>
      </c>
      <c r="U17" t="s">
        <v>145</v>
      </c>
    </row>
    <row r="18" spans="5:21" x14ac:dyDescent="0.35">
      <c r="E18" t="s">
        <v>139</v>
      </c>
      <c r="F18">
        <v>43700001</v>
      </c>
      <c r="G18">
        <v>1</v>
      </c>
      <c r="H18">
        <v>413.15</v>
      </c>
      <c r="I18">
        <v>699.1</v>
      </c>
      <c r="J18">
        <v>42917</v>
      </c>
      <c r="K18">
        <v>42926</v>
      </c>
      <c r="L18">
        <v>9</v>
      </c>
      <c r="M18" t="s">
        <v>140</v>
      </c>
      <c r="N18" t="s">
        <v>141</v>
      </c>
      <c r="O18" t="s">
        <v>142</v>
      </c>
      <c r="P18" t="s">
        <v>138</v>
      </c>
      <c r="Q18" t="s">
        <v>120</v>
      </c>
      <c r="R18" t="s">
        <v>121</v>
      </c>
      <c r="S18" t="s">
        <v>143</v>
      </c>
      <c r="T18" t="s">
        <v>144</v>
      </c>
      <c r="U18" t="s">
        <v>145</v>
      </c>
    </row>
    <row r="19" spans="5:21" x14ac:dyDescent="0.35">
      <c r="E19" t="s">
        <v>223</v>
      </c>
      <c r="F19">
        <v>43722001</v>
      </c>
      <c r="G19">
        <v>1</v>
      </c>
      <c r="H19">
        <v>2171.29</v>
      </c>
      <c r="I19">
        <v>3578.27</v>
      </c>
      <c r="J19">
        <v>42920</v>
      </c>
      <c r="K19">
        <v>42929</v>
      </c>
      <c r="L19">
        <v>9</v>
      </c>
      <c r="M19" t="s">
        <v>224</v>
      </c>
      <c r="N19" t="s">
        <v>225</v>
      </c>
      <c r="O19" t="s">
        <v>176</v>
      </c>
      <c r="P19" t="s">
        <v>177</v>
      </c>
      <c r="Q19" t="s">
        <v>120</v>
      </c>
      <c r="R19" t="s">
        <v>121</v>
      </c>
      <c r="S19" t="s">
        <v>169</v>
      </c>
      <c r="T19" t="s">
        <v>123</v>
      </c>
      <c r="U19" t="s">
        <v>124</v>
      </c>
    </row>
    <row r="20" spans="5:21" x14ac:dyDescent="0.35">
      <c r="E20" t="s">
        <v>240</v>
      </c>
      <c r="F20">
        <v>43727001</v>
      </c>
      <c r="G20">
        <v>1</v>
      </c>
      <c r="H20">
        <v>2171.29</v>
      </c>
      <c r="I20">
        <v>3578.27</v>
      </c>
      <c r="J20">
        <v>42920</v>
      </c>
      <c r="K20">
        <v>42929</v>
      </c>
      <c r="L20">
        <v>9</v>
      </c>
      <c r="M20" t="s">
        <v>241</v>
      </c>
      <c r="N20" t="s">
        <v>242</v>
      </c>
      <c r="O20" t="s">
        <v>161</v>
      </c>
      <c r="P20" t="s">
        <v>150</v>
      </c>
      <c r="Q20" t="s">
        <v>120</v>
      </c>
      <c r="R20" t="s">
        <v>121</v>
      </c>
      <c r="S20" t="s">
        <v>153</v>
      </c>
      <c r="T20" t="s">
        <v>123</v>
      </c>
      <c r="U20" t="s">
        <v>124</v>
      </c>
    </row>
    <row r="21" spans="5:21" x14ac:dyDescent="0.35">
      <c r="E21" t="s">
        <v>328</v>
      </c>
      <c r="F21">
        <v>43756001</v>
      </c>
      <c r="G21">
        <v>1</v>
      </c>
      <c r="H21">
        <v>413.15</v>
      </c>
      <c r="I21">
        <v>699.1</v>
      </c>
      <c r="J21">
        <v>42924</v>
      </c>
      <c r="K21">
        <v>42933</v>
      </c>
      <c r="L21">
        <v>9</v>
      </c>
      <c r="M21" t="s">
        <v>329</v>
      </c>
      <c r="N21" t="s">
        <v>289</v>
      </c>
      <c r="O21" t="s">
        <v>176</v>
      </c>
      <c r="P21" t="s">
        <v>177</v>
      </c>
      <c r="Q21" t="s">
        <v>120</v>
      </c>
      <c r="R21" t="s">
        <v>121</v>
      </c>
      <c r="S21" t="s">
        <v>229</v>
      </c>
      <c r="T21" t="s">
        <v>144</v>
      </c>
      <c r="U21" t="s">
        <v>145</v>
      </c>
    </row>
    <row r="22" spans="5:21" x14ac:dyDescent="0.35">
      <c r="E22" t="s">
        <v>367</v>
      </c>
      <c r="F22">
        <v>43771001</v>
      </c>
      <c r="G22">
        <v>1</v>
      </c>
      <c r="H22">
        <v>413.15</v>
      </c>
      <c r="I22">
        <v>699.1</v>
      </c>
      <c r="J22">
        <v>42926</v>
      </c>
      <c r="K22">
        <v>42935</v>
      </c>
      <c r="L22">
        <v>9</v>
      </c>
      <c r="M22" t="s">
        <v>368</v>
      </c>
      <c r="N22" t="s">
        <v>369</v>
      </c>
      <c r="O22" t="s">
        <v>142</v>
      </c>
      <c r="P22" t="s">
        <v>138</v>
      </c>
      <c r="Q22" t="s">
        <v>120</v>
      </c>
      <c r="R22" t="s">
        <v>121</v>
      </c>
      <c r="S22" t="s">
        <v>178</v>
      </c>
      <c r="T22" t="s">
        <v>123</v>
      </c>
      <c r="U22" t="s">
        <v>145</v>
      </c>
    </row>
    <row r="23" spans="5:21" x14ac:dyDescent="0.35">
      <c r="E23" t="s">
        <v>394</v>
      </c>
      <c r="F23">
        <v>43781001</v>
      </c>
      <c r="G23">
        <v>1</v>
      </c>
      <c r="H23">
        <v>2171.29</v>
      </c>
      <c r="I23">
        <v>3578.27</v>
      </c>
      <c r="J23">
        <v>42927</v>
      </c>
      <c r="K23">
        <v>42936</v>
      </c>
      <c r="L23">
        <v>9</v>
      </c>
      <c r="M23" t="s">
        <v>395</v>
      </c>
      <c r="N23" t="s">
        <v>292</v>
      </c>
      <c r="O23" t="s">
        <v>204</v>
      </c>
      <c r="P23" t="s">
        <v>150</v>
      </c>
      <c r="Q23" t="s">
        <v>120</v>
      </c>
      <c r="R23" t="s">
        <v>121</v>
      </c>
      <c r="S23" t="s">
        <v>169</v>
      </c>
      <c r="T23" t="s">
        <v>123</v>
      </c>
      <c r="U23" t="s">
        <v>124</v>
      </c>
    </row>
    <row r="24" spans="5:21" x14ac:dyDescent="0.35">
      <c r="E24" t="s">
        <v>183</v>
      </c>
      <c r="F24">
        <v>43710001</v>
      </c>
      <c r="G24">
        <v>1</v>
      </c>
      <c r="H24">
        <v>2171.29</v>
      </c>
      <c r="I24">
        <v>3578.27</v>
      </c>
      <c r="J24">
        <v>42918</v>
      </c>
      <c r="K24">
        <v>42926</v>
      </c>
      <c r="L24">
        <v>8</v>
      </c>
      <c r="M24" t="s">
        <v>184</v>
      </c>
      <c r="N24" t="s">
        <v>185</v>
      </c>
      <c r="O24" t="s">
        <v>149</v>
      </c>
      <c r="P24" t="s">
        <v>150</v>
      </c>
      <c r="Q24" t="s">
        <v>120</v>
      </c>
      <c r="R24" t="s">
        <v>121</v>
      </c>
      <c r="S24" t="s">
        <v>186</v>
      </c>
      <c r="T24" t="s">
        <v>123</v>
      </c>
      <c r="U24" t="s">
        <v>124</v>
      </c>
    </row>
    <row r="25" spans="5:21" x14ac:dyDescent="0.35">
      <c r="E25" t="s">
        <v>201</v>
      </c>
      <c r="F25">
        <v>43715001</v>
      </c>
      <c r="G25">
        <v>1</v>
      </c>
      <c r="H25">
        <v>2171.29</v>
      </c>
      <c r="I25">
        <v>3578.27</v>
      </c>
      <c r="J25">
        <v>42919</v>
      </c>
      <c r="K25">
        <v>42927</v>
      </c>
      <c r="L25">
        <v>8</v>
      </c>
      <c r="M25" t="s">
        <v>202</v>
      </c>
      <c r="N25" t="s">
        <v>203</v>
      </c>
      <c r="O25" t="s">
        <v>204</v>
      </c>
      <c r="P25" t="s">
        <v>150</v>
      </c>
      <c r="Q25" t="s">
        <v>120</v>
      </c>
      <c r="R25" t="s">
        <v>121</v>
      </c>
      <c r="S25" t="s">
        <v>186</v>
      </c>
      <c r="T25" t="s">
        <v>123</v>
      </c>
      <c r="U25" t="s">
        <v>124</v>
      </c>
    </row>
    <row r="26" spans="5:21" x14ac:dyDescent="0.35">
      <c r="E26" t="s">
        <v>230</v>
      </c>
      <c r="F26">
        <v>43724001</v>
      </c>
      <c r="G26">
        <v>1</v>
      </c>
      <c r="H26">
        <v>2171.29</v>
      </c>
      <c r="I26">
        <v>3578.27</v>
      </c>
      <c r="J26">
        <v>42920</v>
      </c>
      <c r="K26">
        <v>42928</v>
      </c>
      <c r="L26">
        <v>8</v>
      </c>
      <c r="M26" t="s">
        <v>231</v>
      </c>
      <c r="N26" t="s">
        <v>232</v>
      </c>
      <c r="O26" t="s">
        <v>204</v>
      </c>
      <c r="P26" t="s">
        <v>150</v>
      </c>
      <c r="Q26" t="s">
        <v>120</v>
      </c>
      <c r="R26" t="s">
        <v>121</v>
      </c>
      <c r="S26" t="s">
        <v>153</v>
      </c>
      <c r="T26" t="s">
        <v>123</v>
      </c>
      <c r="U26" t="s">
        <v>124</v>
      </c>
    </row>
    <row r="27" spans="5:21" x14ac:dyDescent="0.35">
      <c r="E27" t="s">
        <v>237</v>
      </c>
      <c r="F27">
        <v>43726001</v>
      </c>
      <c r="G27">
        <v>1</v>
      </c>
      <c r="H27">
        <v>413.15</v>
      </c>
      <c r="I27">
        <v>699.1</v>
      </c>
      <c r="J27">
        <v>42920</v>
      </c>
      <c r="K27">
        <v>42928</v>
      </c>
      <c r="L27">
        <v>8</v>
      </c>
      <c r="M27" t="s">
        <v>238</v>
      </c>
      <c r="N27" t="s">
        <v>239</v>
      </c>
      <c r="O27" t="s">
        <v>142</v>
      </c>
      <c r="P27" t="s">
        <v>138</v>
      </c>
      <c r="Q27" t="s">
        <v>120</v>
      </c>
      <c r="R27" t="s">
        <v>121</v>
      </c>
      <c r="S27" t="s">
        <v>229</v>
      </c>
      <c r="T27" t="s">
        <v>144</v>
      </c>
      <c r="U27" t="s">
        <v>145</v>
      </c>
    </row>
    <row r="28" spans="5:21" x14ac:dyDescent="0.35">
      <c r="E28" t="s">
        <v>252</v>
      </c>
      <c r="F28">
        <v>43731001</v>
      </c>
      <c r="G28">
        <v>1</v>
      </c>
      <c r="H28">
        <v>2171.29</v>
      </c>
      <c r="I28">
        <v>3578.27</v>
      </c>
      <c r="J28">
        <v>42921</v>
      </c>
      <c r="K28">
        <v>42929</v>
      </c>
      <c r="L28">
        <v>8</v>
      </c>
      <c r="M28" t="s">
        <v>253</v>
      </c>
      <c r="N28" t="s">
        <v>254</v>
      </c>
      <c r="O28" t="s">
        <v>149</v>
      </c>
      <c r="P28" t="s">
        <v>150</v>
      </c>
      <c r="Q28" t="s">
        <v>120</v>
      </c>
      <c r="R28" t="s">
        <v>121</v>
      </c>
      <c r="S28" t="s">
        <v>186</v>
      </c>
      <c r="T28" t="s">
        <v>123</v>
      </c>
      <c r="U28" t="s">
        <v>124</v>
      </c>
    </row>
    <row r="29" spans="5:21" x14ac:dyDescent="0.35">
      <c r="E29" t="s">
        <v>274</v>
      </c>
      <c r="F29">
        <v>43738001</v>
      </c>
      <c r="G29">
        <v>1</v>
      </c>
      <c r="H29">
        <v>2171.29</v>
      </c>
      <c r="I29">
        <v>3578.27</v>
      </c>
      <c r="J29">
        <v>42922</v>
      </c>
      <c r="K29">
        <v>42930</v>
      </c>
      <c r="L29">
        <v>8</v>
      </c>
      <c r="M29" t="s">
        <v>275</v>
      </c>
      <c r="N29" t="s">
        <v>276</v>
      </c>
      <c r="O29" t="s">
        <v>277</v>
      </c>
      <c r="P29" t="s">
        <v>129</v>
      </c>
      <c r="Q29" t="s">
        <v>120</v>
      </c>
      <c r="R29" t="s">
        <v>121</v>
      </c>
      <c r="S29" t="s">
        <v>169</v>
      </c>
      <c r="T29" t="s">
        <v>123</v>
      </c>
      <c r="U29" t="s">
        <v>124</v>
      </c>
    </row>
    <row r="30" spans="5:21" x14ac:dyDescent="0.35">
      <c r="E30" t="s">
        <v>299</v>
      </c>
      <c r="F30">
        <v>43746001</v>
      </c>
      <c r="G30">
        <v>1</v>
      </c>
      <c r="H30">
        <v>2171.29</v>
      </c>
      <c r="I30">
        <v>3578.27</v>
      </c>
      <c r="J30">
        <v>42923</v>
      </c>
      <c r="K30">
        <v>42931</v>
      </c>
      <c r="L30">
        <v>8</v>
      </c>
      <c r="M30" t="s">
        <v>300</v>
      </c>
      <c r="N30" t="s">
        <v>156</v>
      </c>
      <c r="O30" t="s">
        <v>157</v>
      </c>
      <c r="P30" t="s">
        <v>150</v>
      </c>
      <c r="Q30" t="s">
        <v>120</v>
      </c>
      <c r="R30" t="s">
        <v>121</v>
      </c>
      <c r="S30" t="s">
        <v>169</v>
      </c>
      <c r="T30" t="s">
        <v>123</v>
      </c>
      <c r="U30" t="s">
        <v>124</v>
      </c>
    </row>
    <row r="31" spans="5:21" x14ac:dyDescent="0.35">
      <c r="E31" t="s">
        <v>310</v>
      </c>
      <c r="F31">
        <v>43750001</v>
      </c>
      <c r="G31">
        <v>1</v>
      </c>
      <c r="H31">
        <v>2171.29</v>
      </c>
      <c r="I31">
        <v>3578.27</v>
      </c>
      <c r="J31">
        <v>42923</v>
      </c>
      <c r="K31">
        <v>42931</v>
      </c>
      <c r="L31">
        <v>8</v>
      </c>
      <c r="M31" t="s">
        <v>311</v>
      </c>
      <c r="N31" t="s">
        <v>312</v>
      </c>
      <c r="O31" t="s">
        <v>313</v>
      </c>
      <c r="P31" t="s">
        <v>129</v>
      </c>
      <c r="Q31" t="s">
        <v>120</v>
      </c>
      <c r="R31" t="s">
        <v>121</v>
      </c>
      <c r="S31" t="s">
        <v>153</v>
      </c>
      <c r="T31" t="s">
        <v>123</v>
      </c>
      <c r="U31" t="s">
        <v>124</v>
      </c>
    </row>
    <row r="32" spans="5:21" x14ac:dyDescent="0.35">
      <c r="E32" t="s">
        <v>322</v>
      </c>
      <c r="F32">
        <v>43754001</v>
      </c>
      <c r="G32">
        <v>1</v>
      </c>
      <c r="H32">
        <v>2171.29</v>
      </c>
      <c r="I32">
        <v>3578.27</v>
      </c>
      <c r="J32">
        <v>42924</v>
      </c>
      <c r="K32">
        <v>42932</v>
      </c>
      <c r="L32">
        <v>8</v>
      </c>
      <c r="M32" t="s">
        <v>323</v>
      </c>
      <c r="N32" t="s">
        <v>324</v>
      </c>
      <c r="O32" t="s">
        <v>213</v>
      </c>
      <c r="P32" t="s">
        <v>138</v>
      </c>
      <c r="Q32" t="s">
        <v>120</v>
      </c>
      <c r="R32" t="s">
        <v>121</v>
      </c>
      <c r="S32" t="s">
        <v>169</v>
      </c>
      <c r="T32" t="s">
        <v>123</v>
      </c>
      <c r="U32" t="s">
        <v>124</v>
      </c>
    </row>
    <row r="33" spans="5:21" x14ac:dyDescent="0.35">
      <c r="E33" t="s">
        <v>391</v>
      </c>
      <c r="F33">
        <v>43780001</v>
      </c>
      <c r="G33">
        <v>1</v>
      </c>
      <c r="H33">
        <v>2171.29</v>
      </c>
      <c r="I33">
        <v>3578.27</v>
      </c>
      <c r="J33">
        <v>42927</v>
      </c>
      <c r="K33">
        <v>42935</v>
      </c>
      <c r="L33">
        <v>8</v>
      </c>
      <c r="M33" t="s">
        <v>392</v>
      </c>
      <c r="N33" t="s">
        <v>393</v>
      </c>
      <c r="O33" t="s">
        <v>277</v>
      </c>
      <c r="P33" t="s">
        <v>129</v>
      </c>
      <c r="Q33" t="s">
        <v>120</v>
      </c>
      <c r="R33" t="s">
        <v>121</v>
      </c>
      <c r="S33" t="s">
        <v>153</v>
      </c>
      <c r="T33" t="s">
        <v>123</v>
      </c>
      <c r="U33" t="s">
        <v>124</v>
      </c>
    </row>
    <row r="34" spans="5:21" x14ac:dyDescent="0.35">
      <c r="E34" t="s">
        <v>170</v>
      </c>
      <c r="F34">
        <v>43707001</v>
      </c>
      <c r="G34">
        <v>1</v>
      </c>
      <c r="H34">
        <v>2171.29</v>
      </c>
      <c r="I34">
        <v>3578.27</v>
      </c>
      <c r="J34">
        <v>42918</v>
      </c>
      <c r="K34">
        <v>42925</v>
      </c>
      <c r="L34">
        <v>7</v>
      </c>
      <c r="M34" t="s">
        <v>171</v>
      </c>
      <c r="N34" t="s">
        <v>172</v>
      </c>
      <c r="O34" t="s">
        <v>142</v>
      </c>
      <c r="P34" t="s">
        <v>138</v>
      </c>
      <c r="Q34" t="s">
        <v>120</v>
      </c>
      <c r="R34" t="s">
        <v>121</v>
      </c>
      <c r="S34" t="s">
        <v>169</v>
      </c>
      <c r="T34" t="s">
        <v>123</v>
      </c>
      <c r="U34" t="s">
        <v>124</v>
      </c>
    </row>
    <row r="35" spans="5:21" x14ac:dyDescent="0.35">
      <c r="E35" t="s">
        <v>217</v>
      </c>
      <c r="F35">
        <v>43720001</v>
      </c>
      <c r="G35">
        <v>1</v>
      </c>
      <c r="H35">
        <v>2171.29</v>
      </c>
      <c r="I35">
        <v>3578.27</v>
      </c>
      <c r="J35">
        <v>42919</v>
      </c>
      <c r="K35">
        <v>42926</v>
      </c>
      <c r="L35">
        <v>7</v>
      </c>
      <c r="M35" t="s">
        <v>218</v>
      </c>
      <c r="N35" t="s">
        <v>219</v>
      </c>
      <c r="O35" t="s">
        <v>220</v>
      </c>
      <c r="P35" t="s">
        <v>194</v>
      </c>
      <c r="Q35" t="s">
        <v>120</v>
      </c>
      <c r="R35" t="s">
        <v>121</v>
      </c>
      <c r="S35" t="s">
        <v>153</v>
      </c>
      <c r="T35" t="s">
        <v>123</v>
      </c>
      <c r="U35" t="s">
        <v>124</v>
      </c>
    </row>
    <row r="36" spans="5:21" x14ac:dyDescent="0.35">
      <c r="E36" t="s">
        <v>271</v>
      </c>
      <c r="F36">
        <v>43737001</v>
      </c>
      <c r="G36">
        <v>1</v>
      </c>
      <c r="H36">
        <v>2171.29</v>
      </c>
      <c r="I36">
        <v>3578.27</v>
      </c>
      <c r="J36">
        <v>42922</v>
      </c>
      <c r="K36">
        <v>42929</v>
      </c>
      <c r="L36">
        <v>7</v>
      </c>
      <c r="M36" t="s">
        <v>272</v>
      </c>
      <c r="N36" t="s">
        <v>273</v>
      </c>
      <c r="O36" t="s">
        <v>193</v>
      </c>
      <c r="P36" t="s">
        <v>194</v>
      </c>
      <c r="Q36" t="s">
        <v>120</v>
      </c>
      <c r="R36" t="s">
        <v>121</v>
      </c>
      <c r="S36" t="s">
        <v>153</v>
      </c>
      <c r="T36" t="s">
        <v>123</v>
      </c>
      <c r="U36" t="s">
        <v>124</v>
      </c>
    </row>
    <row r="37" spans="5:21" x14ac:dyDescent="0.35">
      <c r="E37" t="s">
        <v>278</v>
      </c>
      <c r="F37">
        <v>43739001</v>
      </c>
      <c r="G37">
        <v>1</v>
      </c>
      <c r="H37">
        <v>2171.29</v>
      </c>
      <c r="I37">
        <v>3578.27</v>
      </c>
      <c r="J37">
        <v>42922</v>
      </c>
      <c r="K37">
        <v>42929</v>
      </c>
      <c r="L37">
        <v>7</v>
      </c>
      <c r="M37" t="s">
        <v>279</v>
      </c>
      <c r="N37" t="s">
        <v>280</v>
      </c>
      <c r="O37" t="s">
        <v>176</v>
      </c>
      <c r="P37" t="s">
        <v>177</v>
      </c>
      <c r="Q37" t="s">
        <v>120</v>
      </c>
      <c r="R37" t="s">
        <v>121</v>
      </c>
      <c r="S37" t="s">
        <v>122</v>
      </c>
      <c r="T37" t="s">
        <v>123</v>
      </c>
      <c r="U37" t="s">
        <v>124</v>
      </c>
    </row>
    <row r="38" spans="5:21" x14ac:dyDescent="0.35">
      <c r="E38" t="s">
        <v>304</v>
      </c>
      <c r="F38">
        <v>43748001</v>
      </c>
      <c r="G38">
        <v>1</v>
      </c>
      <c r="H38">
        <v>2171.29</v>
      </c>
      <c r="I38">
        <v>3578.27</v>
      </c>
      <c r="J38">
        <v>42923</v>
      </c>
      <c r="K38">
        <v>42930</v>
      </c>
      <c r="L38">
        <v>7</v>
      </c>
      <c r="M38" t="s">
        <v>305</v>
      </c>
      <c r="N38" t="s">
        <v>306</v>
      </c>
      <c r="O38" t="s">
        <v>137</v>
      </c>
      <c r="P38" t="s">
        <v>138</v>
      </c>
      <c r="Q38" t="s">
        <v>120</v>
      </c>
      <c r="R38" t="s">
        <v>121</v>
      </c>
      <c r="S38" t="s">
        <v>182</v>
      </c>
      <c r="T38" t="s">
        <v>123</v>
      </c>
      <c r="U38" t="s">
        <v>124</v>
      </c>
    </row>
    <row r="39" spans="5:21" x14ac:dyDescent="0.35">
      <c r="E39" t="s">
        <v>347</v>
      </c>
      <c r="F39">
        <v>43763001</v>
      </c>
      <c r="G39">
        <v>1</v>
      </c>
      <c r="H39">
        <v>2171.29</v>
      </c>
      <c r="I39">
        <v>3578.27</v>
      </c>
      <c r="J39">
        <v>42925</v>
      </c>
      <c r="K39">
        <v>42932</v>
      </c>
      <c r="L39">
        <v>7</v>
      </c>
      <c r="M39" t="s">
        <v>348</v>
      </c>
      <c r="N39" t="s">
        <v>207</v>
      </c>
      <c r="O39" t="s">
        <v>149</v>
      </c>
      <c r="P39" t="s">
        <v>150</v>
      </c>
      <c r="Q39" t="s">
        <v>120</v>
      </c>
      <c r="R39" t="s">
        <v>121</v>
      </c>
      <c r="S39" t="s">
        <v>182</v>
      </c>
      <c r="T39" t="s">
        <v>123</v>
      </c>
      <c r="U39" t="s">
        <v>124</v>
      </c>
    </row>
    <row r="40" spans="5:21" x14ac:dyDescent="0.35">
      <c r="E40" t="s">
        <v>353</v>
      </c>
      <c r="F40">
        <v>43766001</v>
      </c>
      <c r="G40">
        <v>1</v>
      </c>
      <c r="H40">
        <v>2171.29</v>
      </c>
      <c r="I40">
        <v>3578.27</v>
      </c>
      <c r="J40">
        <v>42925</v>
      </c>
      <c r="K40">
        <v>42932</v>
      </c>
      <c r="L40">
        <v>7</v>
      </c>
      <c r="M40" t="s">
        <v>354</v>
      </c>
      <c r="N40" t="s">
        <v>355</v>
      </c>
      <c r="O40" t="s">
        <v>204</v>
      </c>
      <c r="P40" t="s">
        <v>150</v>
      </c>
      <c r="Q40" t="s">
        <v>120</v>
      </c>
      <c r="R40" t="s">
        <v>121</v>
      </c>
      <c r="S40" t="s">
        <v>182</v>
      </c>
      <c r="T40" t="s">
        <v>123</v>
      </c>
      <c r="U40" t="s">
        <v>124</v>
      </c>
    </row>
    <row r="41" spans="5:21" x14ac:dyDescent="0.35">
      <c r="E41" t="s">
        <v>372</v>
      </c>
      <c r="F41">
        <v>43773001</v>
      </c>
      <c r="G41">
        <v>1</v>
      </c>
      <c r="H41">
        <v>2171.29</v>
      </c>
      <c r="I41">
        <v>3578.27</v>
      </c>
      <c r="J41">
        <v>42926</v>
      </c>
      <c r="K41">
        <v>42933</v>
      </c>
      <c r="L41">
        <v>7</v>
      </c>
      <c r="M41" t="s">
        <v>373</v>
      </c>
      <c r="N41" t="s">
        <v>332</v>
      </c>
      <c r="O41" t="s">
        <v>204</v>
      </c>
      <c r="P41" t="s">
        <v>150</v>
      </c>
      <c r="Q41" t="s">
        <v>120</v>
      </c>
      <c r="R41" t="s">
        <v>121</v>
      </c>
      <c r="S41" t="s">
        <v>186</v>
      </c>
      <c r="T41" t="s">
        <v>123</v>
      </c>
      <c r="U41" t="s">
        <v>124</v>
      </c>
    </row>
    <row r="42" spans="5:21" x14ac:dyDescent="0.35">
      <c r="E42" t="s">
        <v>376</v>
      </c>
      <c r="F42">
        <v>43775001</v>
      </c>
      <c r="G42">
        <v>1</v>
      </c>
      <c r="H42">
        <v>1912.15</v>
      </c>
      <c r="I42">
        <v>3399.99</v>
      </c>
      <c r="J42">
        <v>42926</v>
      </c>
      <c r="K42">
        <v>42933</v>
      </c>
      <c r="L42">
        <v>7</v>
      </c>
      <c r="M42" t="s">
        <v>377</v>
      </c>
      <c r="N42" t="s">
        <v>292</v>
      </c>
      <c r="O42" t="s">
        <v>204</v>
      </c>
      <c r="P42" t="s">
        <v>150</v>
      </c>
      <c r="Q42" t="s">
        <v>120</v>
      </c>
      <c r="R42" t="s">
        <v>130</v>
      </c>
      <c r="S42" t="s">
        <v>293</v>
      </c>
      <c r="T42" t="s">
        <v>132</v>
      </c>
      <c r="U42" t="s">
        <v>133</v>
      </c>
    </row>
    <row r="43" spans="5:21" x14ac:dyDescent="0.35">
      <c r="E43" t="s">
        <v>387</v>
      </c>
      <c r="F43">
        <v>43779001</v>
      </c>
      <c r="G43">
        <v>1</v>
      </c>
      <c r="H43">
        <v>413.15</v>
      </c>
      <c r="I43">
        <v>699.1</v>
      </c>
      <c r="J43">
        <v>42926</v>
      </c>
      <c r="K43">
        <v>42933</v>
      </c>
      <c r="L43">
        <v>7</v>
      </c>
      <c r="M43" t="s">
        <v>388</v>
      </c>
      <c r="N43" t="s">
        <v>389</v>
      </c>
      <c r="O43" t="s">
        <v>149</v>
      </c>
      <c r="P43" t="s">
        <v>150</v>
      </c>
      <c r="Q43" t="s">
        <v>120</v>
      </c>
      <c r="R43" t="s">
        <v>121</v>
      </c>
      <c r="S43" t="s">
        <v>390</v>
      </c>
      <c r="T43" t="s">
        <v>123</v>
      </c>
      <c r="U43" t="s">
        <v>145</v>
      </c>
    </row>
    <row r="44" spans="5:21" x14ac:dyDescent="0.35">
      <c r="E44" t="s">
        <v>405</v>
      </c>
      <c r="F44">
        <v>43785001</v>
      </c>
      <c r="G44">
        <v>1</v>
      </c>
      <c r="H44">
        <v>2171.29</v>
      </c>
      <c r="I44">
        <v>3578.27</v>
      </c>
      <c r="J44">
        <v>42928</v>
      </c>
      <c r="K44">
        <v>42935</v>
      </c>
      <c r="L44">
        <v>7</v>
      </c>
      <c r="M44" t="s">
        <v>406</v>
      </c>
      <c r="N44" t="s">
        <v>312</v>
      </c>
      <c r="O44" t="s">
        <v>313</v>
      </c>
      <c r="P44" t="s">
        <v>129</v>
      </c>
      <c r="Q44" t="s">
        <v>120</v>
      </c>
      <c r="R44" t="s">
        <v>121</v>
      </c>
      <c r="S44" t="s">
        <v>153</v>
      </c>
      <c r="T44" t="s">
        <v>123</v>
      </c>
      <c r="U44" t="s">
        <v>124</v>
      </c>
    </row>
    <row r="45" spans="5:21" x14ac:dyDescent="0.35">
      <c r="E45" t="s">
        <v>154</v>
      </c>
      <c r="F45">
        <v>43703001</v>
      </c>
      <c r="G45">
        <v>1</v>
      </c>
      <c r="H45">
        <v>2171.29</v>
      </c>
      <c r="I45">
        <v>3578.27</v>
      </c>
      <c r="J45">
        <v>42917</v>
      </c>
      <c r="K45">
        <v>42923</v>
      </c>
      <c r="L45">
        <v>6</v>
      </c>
      <c r="M45" t="s">
        <v>155</v>
      </c>
      <c r="N45" t="s">
        <v>156</v>
      </c>
      <c r="O45" t="s">
        <v>157</v>
      </c>
      <c r="P45" t="s">
        <v>150</v>
      </c>
      <c r="Q45" t="s">
        <v>120</v>
      </c>
      <c r="R45" t="s">
        <v>121</v>
      </c>
      <c r="S45" t="s">
        <v>122</v>
      </c>
      <c r="T45" t="s">
        <v>123</v>
      </c>
      <c r="U45" t="s">
        <v>124</v>
      </c>
    </row>
    <row r="46" spans="5:21" x14ac:dyDescent="0.35">
      <c r="E46" t="s">
        <v>166</v>
      </c>
      <c r="F46">
        <v>43706001</v>
      </c>
      <c r="G46">
        <v>1</v>
      </c>
      <c r="H46">
        <v>2171.29</v>
      </c>
      <c r="I46">
        <v>3578.27</v>
      </c>
      <c r="J46">
        <v>42918</v>
      </c>
      <c r="K46">
        <v>42924</v>
      </c>
      <c r="L46">
        <v>6</v>
      </c>
      <c r="M46" t="s">
        <v>167</v>
      </c>
      <c r="N46" t="s">
        <v>168</v>
      </c>
      <c r="O46" t="s">
        <v>142</v>
      </c>
      <c r="P46" t="s">
        <v>138</v>
      </c>
      <c r="Q46" t="s">
        <v>120</v>
      </c>
      <c r="R46" t="s">
        <v>121</v>
      </c>
      <c r="S46" t="s">
        <v>169</v>
      </c>
      <c r="T46" t="s">
        <v>123</v>
      </c>
      <c r="U46" t="s">
        <v>124</v>
      </c>
    </row>
    <row r="47" spans="5:21" x14ac:dyDescent="0.35">
      <c r="E47" t="s">
        <v>190</v>
      </c>
      <c r="F47">
        <v>43712001</v>
      </c>
      <c r="G47">
        <v>1</v>
      </c>
      <c r="H47">
        <v>2171.29</v>
      </c>
      <c r="I47">
        <v>3578.27</v>
      </c>
      <c r="J47">
        <v>42918</v>
      </c>
      <c r="K47">
        <v>42924</v>
      </c>
      <c r="L47">
        <v>6</v>
      </c>
      <c r="M47" t="s">
        <v>191</v>
      </c>
      <c r="N47" t="s">
        <v>192</v>
      </c>
      <c r="O47" t="s">
        <v>193</v>
      </c>
      <c r="P47" t="s">
        <v>194</v>
      </c>
      <c r="Q47" t="s">
        <v>120</v>
      </c>
      <c r="R47" t="s">
        <v>121</v>
      </c>
      <c r="S47" t="s">
        <v>153</v>
      </c>
      <c r="T47" t="s">
        <v>123</v>
      </c>
      <c r="U47" t="s">
        <v>124</v>
      </c>
    </row>
    <row r="48" spans="5:21" x14ac:dyDescent="0.35">
      <c r="E48" t="s">
        <v>195</v>
      </c>
      <c r="F48">
        <v>43713001</v>
      </c>
      <c r="G48">
        <v>1</v>
      </c>
      <c r="H48">
        <v>2171.29</v>
      </c>
      <c r="I48">
        <v>3578.27</v>
      </c>
      <c r="J48">
        <v>42919</v>
      </c>
      <c r="K48">
        <v>42925</v>
      </c>
      <c r="L48">
        <v>6</v>
      </c>
      <c r="M48" t="s">
        <v>196</v>
      </c>
      <c r="N48" t="s">
        <v>197</v>
      </c>
      <c r="O48" t="s">
        <v>142</v>
      </c>
      <c r="P48" t="s">
        <v>138</v>
      </c>
      <c r="Q48" t="s">
        <v>120</v>
      </c>
      <c r="R48" t="s">
        <v>121</v>
      </c>
      <c r="S48" t="s">
        <v>122</v>
      </c>
      <c r="T48" t="s">
        <v>123</v>
      </c>
      <c r="U48" t="s">
        <v>124</v>
      </c>
    </row>
    <row r="49" spans="5:21" x14ac:dyDescent="0.35">
      <c r="E49" t="s">
        <v>205</v>
      </c>
      <c r="F49">
        <v>43716001</v>
      </c>
      <c r="G49">
        <v>1</v>
      </c>
      <c r="H49">
        <v>2171.29</v>
      </c>
      <c r="I49">
        <v>3578.27</v>
      </c>
      <c r="J49">
        <v>42919</v>
      </c>
      <c r="K49">
        <v>42925</v>
      </c>
      <c r="L49">
        <v>6</v>
      </c>
      <c r="M49" t="s">
        <v>206</v>
      </c>
      <c r="N49" t="s">
        <v>207</v>
      </c>
      <c r="O49" t="s">
        <v>149</v>
      </c>
      <c r="P49" t="s">
        <v>150</v>
      </c>
      <c r="Q49" t="s">
        <v>120</v>
      </c>
      <c r="R49" t="s">
        <v>121</v>
      </c>
      <c r="S49" t="s">
        <v>153</v>
      </c>
      <c r="T49" t="s">
        <v>123</v>
      </c>
      <c r="U49" t="s">
        <v>124</v>
      </c>
    </row>
    <row r="50" spans="5:21" x14ac:dyDescent="0.35">
      <c r="E50" t="s">
        <v>221</v>
      </c>
      <c r="F50">
        <v>43721001</v>
      </c>
      <c r="G50">
        <v>1</v>
      </c>
      <c r="H50">
        <v>2171.29</v>
      </c>
      <c r="I50">
        <v>3578.27</v>
      </c>
      <c r="J50">
        <v>42919</v>
      </c>
      <c r="K50">
        <v>42925</v>
      </c>
      <c r="L50">
        <v>6</v>
      </c>
      <c r="M50" t="s">
        <v>222</v>
      </c>
      <c r="N50" t="s">
        <v>200</v>
      </c>
      <c r="O50" t="s">
        <v>176</v>
      </c>
      <c r="P50" t="s">
        <v>177</v>
      </c>
      <c r="Q50" t="s">
        <v>120</v>
      </c>
      <c r="R50" t="s">
        <v>121</v>
      </c>
      <c r="S50" t="s">
        <v>122</v>
      </c>
      <c r="T50" t="s">
        <v>123</v>
      </c>
      <c r="U50" t="s">
        <v>124</v>
      </c>
    </row>
    <row r="51" spans="5:21" x14ac:dyDescent="0.35">
      <c r="E51" t="s">
        <v>226</v>
      </c>
      <c r="F51">
        <v>43723001</v>
      </c>
      <c r="G51">
        <v>1</v>
      </c>
      <c r="H51">
        <v>413.15</v>
      </c>
      <c r="I51">
        <v>699.1</v>
      </c>
      <c r="J51">
        <v>42920</v>
      </c>
      <c r="K51">
        <v>42926</v>
      </c>
      <c r="L51">
        <v>6</v>
      </c>
      <c r="M51" t="s">
        <v>227</v>
      </c>
      <c r="N51" t="s">
        <v>228</v>
      </c>
      <c r="O51" t="s">
        <v>213</v>
      </c>
      <c r="P51" t="s">
        <v>138</v>
      </c>
      <c r="Q51" t="s">
        <v>120</v>
      </c>
      <c r="R51" t="s">
        <v>121</v>
      </c>
      <c r="S51" t="s">
        <v>229</v>
      </c>
      <c r="T51" t="s">
        <v>144</v>
      </c>
      <c r="U51" t="s">
        <v>145</v>
      </c>
    </row>
    <row r="52" spans="5:21" x14ac:dyDescent="0.35">
      <c r="E52" t="s">
        <v>284</v>
      </c>
      <c r="F52">
        <v>43741001</v>
      </c>
      <c r="G52">
        <v>1</v>
      </c>
      <c r="H52">
        <v>2171.29</v>
      </c>
      <c r="I52">
        <v>3578.27</v>
      </c>
      <c r="J52">
        <v>42922</v>
      </c>
      <c r="K52">
        <v>42928</v>
      </c>
      <c r="L52">
        <v>6</v>
      </c>
      <c r="M52" t="s">
        <v>285</v>
      </c>
      <c r="N52" t="s">
        <v>286</v>
      </c>
      <c r="O52" t="s">
        <v>213</v>
      </c>
      <c r="P52" t="s">
        <v>138</v>
      </c>
      <c r="Q52" t="s">
        <v>120</v>
      </c>
      <c r="R52" t="s">
        <v>121</v>
      </c>
      <c r="S52" t="s">
        <v>122</v>
      </c>
      <c r="T52" t="s">
        <v>123</v>
      </c>
      <c r="U52" t="s">
        <v>124</v>
      </c>
    </row>
    <row r="53" spans="5:21" x14ac:dyDescent="0.35">
      <c r="E53" t="s">
        <v>325</v>
      </c>
      <c r="F53">
        <v>43755001</v>
      </c>
      <c r="G53">
        <v>1</v>
      </c>
      <c r="H53">
        <v>2171.29</v>
      </c>
      <c r="I53">
        <v>3578.27</v>
      </c>
      <c r="J53">
        <v>42924</v>
      </c>
      <c r="K53">
        <v>42930</v>
      </c>
      <c r="L53">
        <v>6</v>
      </c>
      <c r="M53" t="s">
        <v>326</v>
      </c>
      <c r="N53" t="s">
        <v>327</v>
      </c>
      <c r="O53" t="s">
        <v>142</v>
      </c>
      <c r="P53" t="s">
        <v>138</v>
      </c>
      <c r="Q53" t="s">
        <v>120</v>
      </c>
      <c r="R53" t="s">
        <v>121</v>
      </c>
      <c r="S53" t="s">
        <v>153</v>
      </c>
      <c r="T53" t="s">
        <v>123</v>
      </c>
      <c r="U53" t="s">
        <v>124</v>
      </c>
    </row>
    <row r="54" spans="5:21" x14ac:dyDescent="0.35">
      <c r="E54" t="s">
        <v>374</v>
      </c>
      <c r="F54">
        <v>43774001</v>
      </c>
      <c r="G54">
        <v>1</v>
      </c>
      <c r="H54">
        <v>2171.29</v>
      </c>
      <c r="I54">
        <v>3578.27</v>
      </c>
      <c r="J54">
        <v>42926</v>
      </c>
      <c r="K54">
        <v>42932</v>
      </c>
      <c r="L54">
        <v>6</v>
      </c>
      <c r="M54" t="s">
        <v>375</v>
      </c>
      <c r="N54" t="s">
        <v>207</v>
      </c>
      <c r="O54" t="s">
        <v>149</v>
      </c>
      <c r="P54" t="s">
        <v>150</v>
      </c>
      <c r="Q54" t="s">
        <v>120</v>
      </c>
      <c r="R54" t="s">
        <v>121</v>
      </c>
      <c r="S54" t="s">
        <v>182</v>
      </c>
      <c r="T54" t="s">
        <v>123</v>
      </c>
      <c r="U54" t="s">
        <v>124</v>
      </c>
    </row>
    <row r="55" spans="5:21" x14ac:dyDescent="0.35">
      <c r="E55" t="s">
        <v>402</v>
      </c>
      <c r="F55">
        <v>43784001</v>
      </c>
      <c r="G55">
        <v>1</v>
      </c>
      <c r="H55">
        <v>2171.29</v>
      </c>
      <c r="I55">
        <v>3578.27</v>
      </c>
      <c r="J55">
        <v>42928</v>
      </c>
      <c r="K55">
        <v>42934</v>
      </c>
      <c r="L55">
        <v>6</v>
      </c>
      <c r="M55" t="s">
        <v>403</v>
      </c>
      <c r="N55" t="s">
        <v>404</v>
      </c>
      <c r="O55" t="s">
        <v>142</v>
      </c>
      <c r="P55" t="s">
        <v>138</v>
      </c>
      <c r="Q55" t="s">
        <v>120</v>
      </c>
      <c r="R55" t="s">
        <v>121</v>
      </c>
      <c r="S55" t="s">
        <v>122</v>
      </c>
      <c r="T55" t="s">
        <v>123</v>
      </c>
      <c r="U55" t="s">
        <v>124</v>
      </c>
    </row>
    <row r="56" spans="5:21" x14ac:dyDescent="0.35">
      <c r="E56" t="s">
        <v>409</v>
      </c>
      <c r="F56">
        <v>43787001</v>
      </c>
      <c r="G56">
        <v>1</v>
      </c>
      <c r="H56">
        <v>1912.15</v>
      </c>
      <c r="I56">
        <v>3399.99</v>
      </c>
      <c r="J56">
        <v>42928</v>
      </c>
      <c r="K56">
        <v>42934</v>
      </c>
      <c r="L56">
        <v>6</v>
      </c>
      <c r="M56" t="s">
        <v>410</v>
      </c>
      <c r="N56" t="s">
        <v>411</v>
      </c>
      <c r="O56" t="s">
        <v>236</v>
      </c>
      <c r="P56" t="s">
        <v>194</v>
      </c>
      <c r="Q56" t="s">
        <v>120</v>
      </c>
      <c r="R56" t="s">
        <v>130</v>
      </c>
      <c r="S56" t="s">
        <v>165</v>
      </c>
      <c r="T56" t="s">
        <v>132</v>
      </c>
      <c r="U56" t="s">
        <v>133</v>
      </c>
    </row>
    <row r="57" spans="5:21" x14ac:dyDescent="0.35">
      <c r="E57" t="s">
        <v>134</v>
      </c>
      <c r="F57">
        <v>43699001</v>
      </c>
      <c r="G57">
        <v>1</v>
      </c>
      <c r="H57">
        <v>1912.15</v>
      </c>
      <c r="I57">
        <v>3399.99</v>
      </c>
      <c r="J57">
        <v>42917</v>
      </c>
      <c r="K57">
        <v>42922</v>
      </c>
      <c r="L57">
        <v>5</v>
      </c>
      <c r="M57" t="s">
        <v>135</v>
      </c>
      <c r="N57" t="s">
        <v>136</v>
      </c>
      <c r="O57" t="s">
        <v>137</v>
      </c>
      <c r="P57" t="s">
        <v>138</v>
      </c>
      <c r="Q57" t="s">
        <v>120</v>
      </c>
      <c r="R57" t="s">
        <v>130</v>
      </c>
      <c r="S57" t="s">
        <v>131</v>
      </c>
      <c r="T57" t="s">
        <v>132</v>
      </c>
      <c r="U57" t="s">
        <v>133</v>
      </c>
    </row>
    <row r="58" spans="5:21" x14ac:dyDescent="0.35">
      <c r="E58" t="s">
        <v>179</v>
      </c>
      <c r="F58">
        <v>43709001</v>
      </c>
      <c r="G58">
        <v>1</v>
      </c>
      <c r="H58">
        <v>2171.29</v>
      </c>
      <c r="I58">
        <v>3578.27</v>
      </c>
      <c r="J58">
        <v>42918</v>
      </c>
      <c r="K58">
        <v>42923</v>
      </c>
      <c r="L58">
        <v>5</v>
      </c>
      <c r="M58" t="s">
        <v>180</v>
      </c>
      <c r="N58" t="s">
        <v>181</v>
      </c>
      <c r="O58" t="s">
        <v>161</v>
      </c>
      <c r="P58" t="s">
        <v>150</v>
      </c>
      <c r="Q58" t="s">
        <v>120</v>
      </c>
      <c r="R58" t="s">
        <v>121</v>
      </c>
      <c r="S58" t="s">
        <v>182</v>
      </c>
      <c r="T58" t="s">
        <v>123</v>
      </c>
      <c r="U58" t="s">
        <v>124</v>
      </c>
    </row>
    <row r="59" spans="5:21" x14ac:dyDescent="0.35">
      <c r="E59" t="s">
        <v>208</v>
      </c>
      <c r="F59">
        <v>43717001</v>
      </c>
      <c r="G59">
        <v>1</v>
      </c>
      <c r="H59">
        <v>413.15</v>
      </c>
      <c r="I59">
        <v>699.1</v>
      </c>
      <c r="J59">
        <v>42919</v>
      </c>
      <c r="K59">
        <v>42924</v>
      </c>
      <c r="L59">
        <v>5</v>
      </c>
      <c r="M59" t="s">
        <v>209</v>
      </c>
      <c r="N59" t="s">
        <v>207</v>
      </c>
      <c r="O59" t="s">
        <v>149</v>
      </c>
      <c r="P59" t="s">
        <v>150</v>
      </c>
      <c r="Q59" t="s">
        <v>120</v>
      </c>
      <c r="R59" t="s">
        <v>121</v>
      </c>
      <c r="S59" t="s">
        <v>143</v>
      </c>
      <c r="T59" t="s">
        <v>144</v>
      </c>
      <c r="U59" t="s">
        <v>145</v>
      </c>
    </row>
    <row r="60" spans="5:21" x14ac:dyDescent="0.35">
      <c r="E60" t="s">
        <v>214</v>
      </c>
      <c r="F60">
        <v>43719001</v>
      </c>
      <c r="G60">
        <v>1</v>
      </c>
      <c r="H60">
        <v>2171.29</v>
      </c>
      <c r="I60">
        <v>3578.27</v>
      </c>
      <c r="J60">
        <v>42919</v>
      </c>
      <c r="K60">
        <v>42924</v>
      </c>
      <c r="L60">
        <v>5</v>
      </c>
      <c r="M60" t="s">
        <v>215</v>
      </c>
      <c r="N60" t="s">
        <v>216</v>
      </c>
      <c r="O60" t="s">
        <v>142</v>
      </c>
      <c r="P60" t="s">
        <v>138</v>
      </c>
      <c r="Q60" t="s">
        <v>120</v>
      </c>
      <c r="R60" t="s">
        <v>121</v>
      </c>
      <c r="S60" t="s">
        <v>169</v>
      </c>
      <c r="T60" t="s">
        <v>123</v>
      </c>
      <c r="U60" t="s">
        <v>124</v>
      </c>
    </row>
    <row r="61" spans="5:21" x14ac:dyDescent="0.35">
      <c r="E61" t="s">
        <v>264</v>
      </c>
      <c r="F61">
        <v>43735001</v>
      </c>
      <c r="G61">
        <v>1</v>
      </c>
      <c r="H61">
        <v>2171.29</v>
      </c>
      <c r="I61">
        <v>3578.27</v>
      </c>
      <c r="J61">
        <v>42921</v>
      </c>
      <c r="K61">
        <v>42926</v>
      </c>
      <c r="L61">
        <v>5</v>
      </c>
      <c r="M61" t="s">
        <v>265</v>
      </c>
      <c r="N61" t="s">
        <v>266</v>
      </c>
      <c r="O61" t="s">
        <v>161</v>
      </c>
      <c r="P61" t="s">
        <v>150</v>
      </c>
      <c r="Q61" t="s">
        <v>120</v>
      </c>
      <c r="R61" t="s">
        <v>121</v>
      </c>
      <c r="S61" t="s">
        <v>122</v>
      </c>
      <c r="T61" t="s">
        <v>123</v>
      </c>
      <c r="U61" t="s">
        <v>124</v>
      </c>
    </row>
    <row r="62" spans="5:21" x14ac:dyDescent="0.35">
      <c r="E62" t="s">
        <v>287</v>
      </c>
      <c r="F62">
        <v>43742001</v>
      </c>
      <c r="G62">
        <v>1</v>
      </c>
      <c r="H62">
        <v>2171.29</v>
      </c>
      <c r="I62">
        <v>3578.27</v>
      </c>
      <c r="J62">
        <v>42922</v>
      </c>
      <c r="K62">
        <v>42927</v>
      </c>
      <c r="L62">
        <v>5</v>
      </c>
      <c r="M62" t="s">
        <v>288</v>
      </c>
      <c r="N62" t="s">
        <v>289</v>
      </c>
      <c r="O62" t="s">
        <v>176</v>
      </c>
      <c r="P62" t="s">
        <v>177</v>
      </c>
      <c r="Q62" t="s">
        <v>120</v>
      </c>
      <c r="R62" t="s">
        <v>121</v>
      </c>
      <c r="S62" t="s">
        <v>186</v>
      </c>
      <c r="T62" t="s">
        <v>123</v>
      </c>
      <c r="U62" t="s">
        <v>124</v>
      </c>
    </row>
    <row r="63" spans="5:21" x14ac:dyDescent="0.35">
      <c r="E63" t="s">
        <v>294</v>
      </c>
      <c r="F63">
        <v>43744001</v>
      </c>
      <c r="G63">
        <v>1</v>
      </c>
      <c r="H63">
        <v>2171.29</v>
      </c>
      <c r="I63">
        <v>3578.27</v>
      </c>
      <c r="J63">
        <v>42922</v>
      </c>
      <c r="K63">
        <v>42927</v>
      </c>
      <c r="L63">
        <v>5</v>
      </c>
      <c r="M63" t="s">
        <v>295</v>
      </c>
      <c r="N63" t="s">
        <v>181</v>
      </c>
      <c r="O63" t="s">
        <v>161</v>
      </c>
      <c r="P63" t="s">
        <v>150</v>
      </c>
      <c r="Q63" t="s">
        <v>120</v>
      </c>
      <c r="R63" t="s">
        <v>121</v>
      </c>
      <c r="S63" t="s">
        <v>182</v>
      </c>
      <c r="T63" t="s">
        <v>123</v>
      </c>
      <c r="U63" t="s">
        <v>124</v>
      </c>
    </row>
    <row r="64" spans="5:21" x14ac:dyDescent="0.35">
      <c r="E64" t="s">
        <v>314</v>
      </c>
      <c r="F64">
        <v>43751001</v>
      </c>
      <c r="G64">
        <v>1</v>
      </c>
      <c r="H64">
        <v>2171.29</v>
      </c>
      <c r="I64">
        <v>3578.27</v>
      </c>
      <c r="J64">
        <v>42923</v>
      </c>
      <c r="K64">
        <v>42928</v>
      </c>
      <c r="L64">
        <v>5</v>
      </c>
      <c r="M64" t="s">
        <v>315</v>
      </c>
      <c r="N64" t="s">
        <v>316</v>
      </c>
      <c r="O64" t="s">
        <v>317</v>
      </c>
      <c r="P64" t="s">
        <v>129</v>
      </c>
      <c r="Q64" t="s">
        <v>120</v>
      </c>
      <c r="R64" t="s">
        <v>121</v>
      </c>
      <c r="S64" t="s">
        <v>182</v>
      </c>
      <c r="T64" t="s">
        <v>123</v>
      </c>
      <c r="U64" t="s">
        <v>124</v>
      </c>
    </row>
    <row r="65" spans="5:21" x14ac:dyDescent="0.35">
      <c r="E65" t="s">
        <v>339</v>
      </c>
      <c r="F65">
        <v>43760001</v>
      </c>
      <c r="G65">
        <v>1</v>
      </c>
      <c r="H65">
        <v>2171.29</v>
      </c>
      <c r="I65">
        <v>3578.27</v>
      </c>
      <c r="J65">
        <v>42924</v>
      </c>
      <c r="K65">
        <v>42929</v>
      </c>
      <c r="L65">
        <v>5</v>
      </c>
      <c r="M65" t="s">
        <v>340</v>
      </c>
      <c r="N65" t="s">
        <v>207</v>
      </c>
      <c r="O65" t="s">
        <v>149</v>
      </c>
      <c r="P65" t="s">
        <v>150</v>
      </c>
      <c r="Q65" t="s">
        <v>120</v>
      </c>
      <c r="R65" t="s">
        <v>121</v>
      </c>
      <c r="S65" t="s">
        <v>186</v>
      </c>
      <c r="T65" t="s">
        <v>123</v>
      </c>
      <c r="U65" t="s">
        <v>124</v>
      </c>
    </row>
    <row r="66" spans="5:21" x14ac:dyDescent="0.35">
      <c r="E66" t="s">
        <v>349</v>
      </c>
      <c r="F66">
        <v>43764001</v>
      </c>
      <c r="G66">
        <v>1</v>
      </c>
      <c r="H66">
        <v>2171.29</v>
      </c>
      <c r="I66">
        <v>3578.27</v>
      </c>
      <c r="J66">
        <v>42925</v>
      </c>
      <c r="K66">
        <v>42930</v>
      </c>
      <c r="L66">
        <v>5</v>
      </c>
      <c r="M66" t="s">
        <v>350</v>
      </c>
      <c r="N66" t="s">
        <v>254</v>
      </c>
      <c r="O66" t="s">
        <v>149</v>
      </c>
      <c r="P66" t="s">
        <v>150</v>
      </c>
      <c r="Q66" t="s">
        <v>120</v>
      </c>
      <c r="R66" t="s">
        <v>121</v>
      </c>
      <c r="S66" t="s">
        <v>122</v>
      </c>
      <c r="T66" t="s">
        <v>123</v>
      </c>
      <c r="U66" t="s">
        <v>124</v>
      </c>
    </row>
    <row r="67" spans="5:21" x14ac:dyDescent="0.35">
      <c r="E67" t="s">
        <v>399</v>
      </c>
      <c r="F67">
        <v>43783001</v>
      </c>
      <c r="G67">
        <v>1</v>
      </c>
      <c r="H67">
        <v>2171.29</v>
      </c>
      <c r="I67">
        <v>3578.27</v>
      </c>
      <c r="J67">
        <v>42927</v>
      </c>
      <c r="K67">
        <v>42932</v>
      </c>
      <c r="L67">
        <v>5</v>
      </c>
      <c r="M67" t="s">
        <v>400</v>
      </c>
      <c r="N67" t="s">
        <v>401</v>
      </c>
      <c r="O67" t="s">
        <v>149</v>
      </c>
      <c r="P67" t="s">
        <v>150</v>
      </c>
      <c r="Q67" t="s">
        <v>120</v>
      </c>
      <c r="R67" t="s">
        <v>121</v>
      </c>
      <c r="S67" t="s">
        <v>169</v>
      </c>
      <c r="T67" t="s">
        <v>123</v>
      </c>
      <c r="U67" t="s">
        <v>124</v>
      </c>
    </row>
    <row r="68" spans="5:21" x14ac:dyDescent="0.35">
      <c r="E68" t="s">
        <v>425</v>
      </c>
      <c r="F68">
        <v>43793001</v>
      </c>
      <c r="G68">
        <v>1</v>
      </c>
      <c r="H68">
        <v>1912.15</v>
      </c>
      <c r="I68">
        <v>3399.99</v>
      </c>
      <c r="J68">
        <v>42928</v>
      </c>
      <c r="K68">
        <v>42933</v>
      </c>
      <c r="L68">
        <v>5</v>
      </c>
      <c r="M68" t="s">
        <v>426</v>
      </c>
      <c r="N68" t="s">
        <v>181</v>
      </c>
      <c r="O68" t="s">
        <v>161</v>
      </c>
      <c r="P68" t="s">
        <v>150</v>
      </c>
      <c r="Q68" t="s">
        <v>120</v>
      </c>
      <c r="R68" t="s">
        <v>130</v>
      </c>
      <c r="S68" t="s">
        <v>165</v>
      </c>
      <c r="T68" t="s">
        <v>132</v>
      </c>
      <c r="U68" t="s">
        <v>133</v>
      </c>
    </row>
    <row r="69" spans="5:21" x14ac:dyDescent="0.35">
      <c r="E69" t="s">
        <v>115</v>
      </c>
      <c r="F69">
        <v>43697001</v>
      </c>
      <c r="G69">
        <v>1</v>
      </c>
      <c r="H69">
        <v>2171.29</v>
      </c>
      <c r="I69">
        <v>3578.27</v>
      </c>
      <c r="J69">
        <v>42917</v>
      </c>
      <c r="K69">
        <v>42921</v>
      </c>
      <c r="L69">
        <v>4</v>
      </c>
      <c r="M69" t="s">
        <v>116</v>
      </c>
      <c r="N69" t="s">
        <v>117</v>
      </c>
      <c r="O69" t="s">
        <v>118</v>
      </c>
      <c r="P69" t="s">
        <v>119</v>
      </c>
      <c r="Q69" t="s">
        <v>120</v>
      </c>
      <c r="R69" t="s">
        <v>121</v>
      </c>
      <c r="S69" t="s">
        <v>122</v>
      </c>
      <c r="T69" t="s">
        <v>123</v>
      </c>
      <c r="U69" t="s">
        <v>124</v>
      </c>
    </row>
    <row r="70" spans="5:21" x14ac:dyDescent="0.35">
      <c r="E70" t="s">
        <v>151</v>
      </c>
      <c r="F70">
        <v>43702001</v>
      </c>
      <c r="G70">
        <v>1</v>
      </c>
      <c r="H70">
        <v>2171.29</v>
      </c>
      <c r="I70">
        <v>3578.27</v>
      </c>
      <c r="J70">
        <v>42917</v>
      </c>
      <c r="K70">
        <v>42921</v>
      </c>
      <c r="L70">
        <v>4</v>
      </c>
      <c r="M70" t="s">
        <v>152</v>
      </c>
      <c r="O70" t="s">
        <v>142</v>
      </c>
      <c r="P70" t="s">
        <v>138</v>
      </c>
      <c r="Q70" t="s">
        <v>120</v>
      </c>
      <c r="R70" t="s">
        <v>121</v>
      </c>
      <c r="S70" t="s">
        <v>153</v>
      </c>
      <c r="T70" t="s">
        <v>123</v>
      </c>
      <c r="U70" t="s">
        <v>124</v>
      </c>
    </row>
    <row r="71" spans="5:21" x14ac:dyDescent="0.35">
      <c r="E71" t="s">
        <v>163</v>
      </c>
      <c r="F71">
        <v>43705001</v>
      </c>
      <c r="G71">
        <v>1</v>
      </c>
      <c r="H71">
        <v>1912.15</v>
      </c>
      <c r="I71">
        <v>3399.99</v>
      </c>
      <c r="J71">
        <v>42917</v>
      </c>
      <c r="K71">
        <v>42921</v>
      </c>
      <c r="L71">
        <v>4</v>
      </c>
      <c r="M71" t="s">
        <v>164</v>
      </c>
      <c r="N71" t="s">
        <v>160</v>
      </c>
      <c r="O71" t="s">
        <v>161</v>
      </c>
      <c r="P71" t="s">
        <v>150</v>
      </c>
      <c r="Q71" t="s">
        <v>120</v>
      </c>
      <c r="R71" t="s">
        <v>130</v>
      </c>
      <c r="S71" t="s">
        <v>165</v>
      </c>
      <c r="T71" t="s">
        <v>132</v>
      </c>
      <c r="U71" t="s">
        <v>133</v>
      </c>
    </row>
    <row r="72" spans="5:21" x14ac:dyDescent="0.35">
      <c r="E72" t="s">
        <v>243</v>
      </c>
      <c r="F72">
        <v>43728001</v>
      </c>
      <c r="G72">
        <v>1</v>
      </c>
      <c r="H72">
        <v>2171.29</v>
      </c>
      <c r="I72">
        <v>3578.27</v>
      </c>
      <c r="J72">
        <v>42921</v>
      </c>
      <c r="K72">
        <v>42925</v>
      </c>
      <c r="L72">
        <v>4</v>
      </c>
      <c r="M72" t="s">
        <v>244</v>
      </c>
      <c r="N72" t="s">
        <v>245</v>
      </c>
      <c r="O72" t="s">
        <v>142</v>
      </c>
      <c r="P72" t="s">
        <v>138</v>
      </c>
      <c r="Q72" t="s">
        <v>120</v>
      </c>
      <c r="R72" t="s">
        <v>121</v>
      </c>
      <c r="S72" t="s">
        <v>182</v>
      </c>
      <c r="T72" t="s">
        <v>123</v>
      </c>
      <c r="U72" t="s">
        <v>124</v>
      </c>
    </row>
    <row r="73" spans="5:21" x14ac:dyDescent="0.35">
      <c r="E73" t="s">
        <v>262</v>
      </c>
      <c r="F73">
        <v>43734001</v>
      </c>
      <c r="G73">
        <v>1</v>
      </c>
      <c r="H73">
        <v>2171.29</v>
      </c>
      <c r="I73">
        <v>3578.27</v>
      </c>
      <c r="J73">
        <v>42921</v>
      </c>
      <c r="K73">
        <v>42925</v>
      </c>
      <c r="L73">
        <v>4</v>
      </c>
      <c r="M73" t="s">
        <v>263</v>
      </c>
      <c r="N73" t="s">
        <v>261</v>
      </c>
      <c r="O73" t="s">
        <v>213</v>
      </c>
      <c r="P73" t="s">
        <v>138</v>
      </c>
      <c r="Q73" t="s">
        <v>120</v>
      </c>
      <c r="R73" t="s">
        <v>121</v>
      </c>
      <c r="S73" t="s">
        <v>169</v>
      </c>
      <c r="T73" t="s">
        <v>123</v>
      </c>
      <c r="U73" t="s">
        <v>124</v>
      </c>
    </row>
    <row r="74" spans="5:21" x14ac:dyDescent="0.35">
      <c r="E74" t="s">
        <v>296</v>
      </c>
      <c r="F74">
        <v>43745001</v>
      </c>
      <c r="G74">
        <v>1</v>
      </c>
      <c r="H74">
        <v>2171.29</v>
      </c>
      <c r="I74">
        <v>3578.27</v>
      </c>
      <c r="J74">
        <v>42923</v>
      </c>
      <c r="K74">
        <v>42927</v>
      </c>
      <c r="L74">
        <v>4</v>
      </c>
      <c r="M74" t="s">
        <v>297</v>
      </c>
      <c r="N74" t="s">
        <v>298</v>
      </c>
      <c r="O74" t="s">
        <v>149</v>
      </c>
      <c r="P74" t="s">
        <v>150</v>
      </c>
      <c r="Q74" t="s">
        <v>120</v>
      </c>
      <c r="R74" t="s">
        <v>121</v>
      </c>
      <c r="S74" t="s">
        <v>153</v>
      </c>
      <c r="T74" t="s">
        <v>123</v>
      </c>
      <c r="U74" t="s">
        <v>124</v>
      </c>
    </row>
    <row r="75" spans="5:21" x14ac:dyDescent="0.35">
      <c r="E75" t="s">
        <v>307</v>
      </c>
      <c r="F75">
        <v>43749001</v>
      </c>
      <c r="G75">
        <v>1</v>
      </c>
      <c r="H75">
        <v>2171.29</v>
      </c>
      <c r="I75">
        <v>3578.27</v>
      </c>
      <c r="J75">
        <v>42923</v>
      </c>
      <c r="K75">
        <v>42927</v>
      </c>
      <c r="L75">
        <v>4</v>
      </c>
      <c r="M75" t="s">
        <v>308</v>
      </c>
      <c r="N75" t="s">
        <v>309</v>
      </c>
      <c r="O75" t="s">
        <v>213</v>
      </c>
      <c r="P75" t="s">
        <v>138</v>
      </c>
      <c r="Q75" t="s">
        <v>120</v>
      </c>
      <c r="R75" t="s">
        <v>121</v>
      </c>
      <c r="S75" t="s">
        <v>186</v>
      </c>
      <c r="T75" t="s">
        <v>123</v>
      </c>
      <c r="U75" t="s">
        <v>124</v>
      </c>
    </row>
    <row r="76" spans="5:21" x14ac:dyDescent="0.35">
      <c r="E76" t="s">
        <v>356</v>
      </c>
      <c r="F76">
        <v>43767001</v>
      </c>
      <c r="G76">
        <v>1</v>
      </c>
      <c r="H76">
        <v>1898.09</v>
      </c>
      <c r="I76">
        <v>3374.99</v>
      </c>
      <c r="J76">
        <v>42925</v>
      </c>
      <c r="K76">
        <v>42929</v>
      </c>
      <c r="L76">
        <v>4</v>
      </c>
      <c r="M76" t="s">
        <v>357</v>
      </c>
      <c r="N76" t="s">
        <v>343</v>
      </c>
      <c r="O76" t="s">
        <v>204</v>
      </c>
      <c r="P76" t="s">
        <v>150</v>
      </c>
      <c r="Q76" t="s">
        <v>120</v>
      </c>
      <c r="R76" t="s">
        <v>130</v>
      </c>
      <c r="S76" t="s">
        <v>258</v>
      </c>
      <c r="T76" t="s">
        <v>144</v>
      </c>
      <c r="U76" t="s">
        <v>133</v>
      </c>
    </row>
    <row r="77" spans="5:21" x14ac:dyDescent="0.35">
      <c r="E77" t="s">
        <v>384</v>
      </c>
      <c r="F77">
        <v>43778001</v>
      </c>
      <c r="G77">
        <v>1</v>
      </c>
      <c r="H77">
        <v>1912.15</v>
      </c>
      <c r="I77">
        <v>3399.99</v>
      </c>
      <c r="J77">
        <v>42926</v>
      </c>
      <c r="K77">
        <v>42930</v>
      </c>
      <c r="L77">
        <v>4</v>
      </c>
      <c r="M77" t="s">
        <v>385</v>
      </c>
      <c r="N77" t="s">
        <v>232</v>
      </c>
      <c r="O77" t="s">
        <v>204</v>
      </c>
      <c r="P77" t="s">
        <v>150</v>
      </c>
      <c r="Q77" t="s">
        <v>120</v>
      </c>
      <c r="R77" t="s">
        <v>130</v>
      </c>
      <c r="S77" t="s">
        <v>386</v>
      </c>
      <c r="T77" t="s">
        <v>132</v>
      </c>
      <c r="U77" t="s">
        <v>133</v>
      </c>
    </row>
    <row r="78" spans="5:21" x14ac:dyDescent="0.35">
      <c r="E78" t="s">
        <v>407</v>
      </c>
      <c r="F78">
        <v>43786001</v>
      </c>
      <c r="G78">
        <v>1</v>
      </c>
      <c r="H78">
        <v>2171.29</v>
      </c>
      <c r="I78">
        <v>3578.27</v>
      </c>
      <c r="J78">
        <v>42928</v>
      </c>
      <c r="K78">
        <v>42932</v>
      </c>
      <c r="L78">
        <v>4</v>
      </c>
      <c r="M78" t="s">
        <v>408</v>
      </c>
      <c r="N78" t="s">
        <v>316</v>
      </c>
      <c r="O78" t="s">
        <v>317</v>
      </c>
      <c r="P78" t="s">
        <v>129</v>
      </c>
      <c r="Q78" t="s">
        <v>120</v>
      </c>
      <c r="R78" t="s">
        <v>121</v>
      </c>
      <c r="S78" t="s">
        <v>153</v>
      </c>
      <c r="T78" t="s">
        <v>123</v>
      </c>
      <c r="U78" t="s">
        <v>124</v>
      </c>
    </row>
    <row r="79" spans="5:21" x14ac:dyDescent="0.35">
      <c r="E79" t="s">
        <v>414</v>
      </c>
      <c r="F79">
        <v>43789001</v>
      </c>
      <c r="G79">
        <v>1</v>
      </c>
      <c r="H79">
        <v>1898.09</v>
      </c>
      <c r="I79">
        <v>3374.99</v>
      </c>
      <c r="J79">
        <v>42928</v>
      </c>
      <c r="K79">
        <v>42932</v>
      </c>
      <c r="L79">
        <v>4</v>
      </c>
      <c r="M79" t="s">
        <v>415</v>
      </c>
      <c r="N79" t="s">
        <v>212</v>
      </c>
      <c r="O79" t="s">
        <v>213</v>
      </c>
      <c r="P79" t="s">
        <v>138</v>
      </c>
      <c r="Q79" t="s">
        <v>120</v>
      </c>
      <c r="R79" t="s">
        <v>130</v>
      </c>
      <c r="S79" t="s">
        <v>162</v>
      </c>
      <c r="T79" t="s">
        <v>144</v>
      </c>
      <c r="U79" t="s">
        <v>133</v>
      </c>
    </row>
    <row r="80" spans="5:21" x14ac:dyDescent="0.35">
      <c r="E80" t="s">
        <v>158</v>
      </c>
      <c r="F80">
        <v>43704001</v>
      </c>
      <c r="G80">
        <v>1</v>
      </c>
      <c r="H80">
        <v>1898.09</v>
      </c>
      <c r="I80">
        <v>3374.99</v>
      </c>
      <c r="J80">
        <v>42917</v>
      </c>
      <c r="K80">
        <v>42920</v>
      </c>
      <c r="L80">
        <v>3</v>
      </c>
      <c r="M80" t="s">
        <v>159</v>
      </c>
      <c r="N80" t="s">
        <v>160</v>
      </c>
      <c r="O80" t="s">
        <v>161</v>
      </c>
      <c r="P80" t="s">
        <v>150</v>
      </c>
      <c r="Q80" t="s">
        <v>120</v>
      </c>
      <c r="R80" t="s">
        <v>130</v>
      </c>
      <c r="S80" t="s">
        <v>162</v>
      </c>
      <c r="T80" t="s">
        <v>144</v>
      </c>
      <c r="U80" t="s">
        <v>133</v>
      </c>
    </row>
    <row r="81" spans="5:21" x14ac:dyDescent="0.35">
      <c r="E81" t="s">
        <v>173</v>
      </c>
      <c r="F81">
        <v>43708001</v>
      </c>
      <c r="G81">
        <v>1</v>
      </c>
      <c r="H81">
        <v>413.15</v>
      </c>
      <c r="I81">
        <v>699.1</v>
      </c>
      <c r="J81">
        <v>42918</v>
      </c>
      <c r="K81">
        <v>42921</v>
      </c>
      <c r="L81">
        <v>3</v>
      </c>
      <c r="M81" t="s">
        <v>174</v>
      </c>
      <c r="N81" t="s">
        <v>175</v>
      </c>
      <c r="O81" t="s">
        <v>176</v>
      </c>
      <c r="P81" t="s">
        <v>177</v>
      </c>
      <c r="Q81" t="s">
        <v>120</v>
      </c>
      <c r="R81" t="s">
        <v>121</v>
      </c>
      <c r="S81" t="s">
        <v>178</v>
      </c>
      <c r="T81" t="s">
        <v>123</v>
      </c>
      <c r="U81" t="s">
        <v>145</v>
      </c>
    </row>
    <row r="82" spans="5:21" x14ac:dyDescent="0.35">
      <c r="E82" t="s">
        <v>281</v>
      </c>
      <c r="F82">
        <v>43740001</v>
      </c>
      <c r="G82">
        <v>1</v>
      </c>
      <c r="H82">
        <v>2171.29</v>
      </c>
      <c r="I82">
        <v>3578.27</v>
      </c>
      <c r="J82">
        <v>42922</v>
      </c>
      <c r="K82">
        <v>42925</v>
      </c>
      <c r="L82">
        <v>3</v>
      </c>
      <c r="M82" t="s">
        <v>282</v>
      </c>
      <c r="N82" t="s">
        <v>283</v>
      </c>
      <c r="O82" t="s">
        <v>149</v>
      </c>
      <c r="P82" t="s">
        <v>150</v>
      </c>
      <c r="Q82" t="s">
        <v>120</v>
      </c>
      <c r="R82" t="s">
        <v>121</v>
      </c>
      <c r="S82" t="s">
        <v>169</v>
      </c>
      <c r="T82" t="s">
        <v>123</v>
      </c>
      <c r="U82" t="s">
        <v>124</v>
      </c>
    </row>
    <row r="83" spans="5:21" x14ac:dyDescent="0.35">
      <c r="E83" t="s">
        <v>330</v>
      </c>
      <c r="F83">
        <v>43757001</v>
      </c>
      <c r="G83">
        <v>1</v>
      </c>
      <c r="H83">
        <v>1898.09</v>
      </c>
      <c r="I83">
        <v>3374.99</v>
      </c>
      <c r="J83">
        <v>42924</v>
      </c>
      <c r="K83">
        <v>42927</v>
      </c>
      <c r="L83">
        <v>3</v>
      </c>
      <c r="M83" t="s">
        <v>331</v>
      </c>
      <c r="N83" t="s">
        <v>332</v>
      </c>
      <c r="O83" t="s">
        <v>204</v>
      </c>
      <c r="P83" t="s">
        <v>150</v>
      </c>
      <c r="Q83" t="s">
        <v>120</v>
      </c>
      <c r="R83" t="s">
        <v>130</v>
      </c>
      <c r="S83" t="s">
        <v>258</v>
      </c>
      <c r="T83" t="s">
        <v>144</v>
      </c>
      <c r="U83" t="s">
        <v>133</v>
      </c>
    </row>
    <row r="84" spans="5:21" x14ac:dyDescent="0.35">
      <c r="E84" t="s">
        <v>333</v>
      </c>
      <c r="F84">
        <v>43758001</v>
      </c>
      <c r="G84">
        <v>1</v>
      </c>
      <c r="H84">
        <v>2171.29</v>
      </c>
      <c r="I84">
        <v>3578.27</v>
      </c>
      <c r="J84">
        <v>42924</v>
      </c>
      <c r="K84">
        <v>42927</v>
      </c>
      <c r="L84">
        <v>3</v>
      </c>
      <c r="M84" t="s">
        <v>334</v>
      </c>
      <c r="N84" t="s">
        <v>335</v>
      </c>
      <c r="O84" t="s">
        <v>142</v>
      </c>
      <c r="P84" t="s">
        <v>138</v>
      </c>
      <c r="Q84" t="s">
        <v>120</v>
      </c>
      <c r="R84" t="s">
        <v>121</v>
      </c>
      <c r="S84" t="s">
        <v>122</v>
      </c>
      <c r="T84" t="s">
        <v>123</v>
      </c>
      <c r="U84" t="s">
        <v>124</v>
      </c>
    </row>
    <row r="85" spans="5:21" x14ac:dyDescent="0.35">
      <c r="E85" t="s">
        <v>336</v>
      </c>
      <c r="F85">
        <v>43759001</v>
      </c>
      <c r="G85">
        <v>1</v>
      </c>
      <c r="H85">
        <v>2171.29</v>
      </c>
      <c r="I85">
        <v>3578.27</v>
      </c>
      <c r="J85">
        <v>42924</v>
      </c>
      <c r="K85">
        <v>42927</v>
      </c>
      <c r="L85">
        <v>3</v>
      </c>
      <c r="M85" t="s">
        <v>337</v>
      </c>
      <c r="N85" t="s">
        <v>338</v>
      </c>
      <c r="O85" t="s">
        <v>220</v>
      </c>
      <c r="P85" t="s">
        <v>194</v>
      </c>
      <c r="Q85" t="s">
        <v>120</v>
      </c>
      <c r="R85" t="s">
        <v>121</v>
      </c>
      <c r="S85" t="s">
        <v>122</v>
      </c>
      <c r="T85" t="s">
        <v>123</v>
      </c>
      <c r="U85" t="s">
        <v>124</v>
      </c>
    </row>
    <row r="86" spans="5:21" x14ac:dyDescent="0.35">
      <c r="E86" t="s">
        <v>341</v>
      </c>
      <c r="F86">
        <v>43761001</v>
      </c>
      <c r="G86">
        <v>1</v>
      </c>
      <c r="H86">
        <v>2171.29</v>
      </c>
      <c r="I86">
        <v>3578.27</v>
      </c>
      <c r="J86">
        <v>42924</v>
      </c>
      <c r="K86">
        <v>42927</v>
      </c>
      <c r="L86">
        <v>3</v>
      </c>
      <c r="M86" t="s">
        <v>342</v>
      </c>
      <c r="N86" t="s">
        <v>343</v>
      </c>
      <c r="O86" t="s">
        <v>204</v>
      </c>
      <c r="P86" t="s">
        <v>150</v>
      </c>
      <c r="Q86" t="s">
        <v>120</v>
      </c>
      <c r="R86" t="s">
        <v>121</v>
      </c>
      <c r="S86" t="s">
        <v>122</v>
      </c>
      <c r="T86" t="s">
        <v>123</v>
      </c>
      <c r="U86" t="s">
        <v>124</v>
      </c>
    </row>
    <row r="87" spans="5:21" x14ac:dyDescent="0.35">
      <c r="E87" t="s">
        <v>364</v>
      </c>
      <c r="F87">
        <v>43770001</v>
      </c>
      <c r="G87">
        <v>1</v>
      </c>
      <c r="H87">
        <v>2171.29</v>
      </c>
      <c r="I87">
        <v>3578.27</v>
      </c>
      <c r="J87">
        <v>42926</v>
      </c>
      <c r="K87">
        <v>42929</v>
      </c>
      <c r="L87">
        <v>3</v>
      </c>
      <c r="M87" t="s">
        <v>365</v>
      </c>
      <c r="N87" t="s">
        <v>366</v>
      </c>
      <c r="O87" t="s">
        <v>213</v>
      </c>
      <c r="P87" t="s">
        <v>138</v>
      </c>
      <c r="Q87" t="s">
        <v>120</v>
      </c>
      <c r="R87" t="s">
        <v>121</v>
      </c>
      <c r="S87" t="s">
        <v>169</v>
      </c>
      <c r="T87" t="s">
        <v>123</v>
      </c>
      <c r="U87" t="s">
        <v>124</v>
      </c>
    </row>
    <row r="88" spans="5:21" x14ac:dyDescent="0.35">
      <c r="E88" t="s">
        <v>382</v>
      </c>
      <c r="F88">
        <v>43777001</v>
      </c>
      <c r="G88">
        <v>1</v>
      </c>
      <c r="H88">
        <v>2171.29</v>
      </c>
      <c r="I88">
        <v>3578.27</v>
      </c>
      <c r="J88">
        <v>42926</v>
      </c>
      <c r="K88">
        <v>42929</v>
      </c>
      <c r="L88">
        <v>3</v>
      </c>
      <c r="M88" t="s">
        <v>383</v>
      </c>
      <c r="N88" t="s">
        <v>269</v>
      </c>
      <c r="O88" t="s">
        <v>270</v>
      </c>
      <c r="P88" t="s">
        <v>150</v>
      </c>
      <c r="Q88" t="s">
        <v>120</v>
      </c>
      <c r="R88" t="s">
        <v>121</v>
      </c>
      <c r="S88" t="s">
        <v>153</v>
      </c>
      <c r="T88" t="s">
        <v>123</v>
      </c>
      <c r="U88" t="s">
        <v>124</v>
      </c>
    </row>
    <row r="89" spans="5:21" x14ac:dyDescent="0.35">
      <c r="E89" t="s">
        <v>416</v>
      </c>
      <c r="F89">
        <v>43790001</v>
      </c>
      <c r="G89">
        <v>1</v>
      </c>
      <c r="H89">
        <v>1912.15</v>
      </c>
      <c r="I89">
        <v>3399.99</v>
      </c>
      <c r="J89">
        <v>42928</v>
      </c>
      <c r="K89">
        <v>42931</v>
      </c>
      <c r="L89">
        <v>3</v>
      </c>
      <c r="M89" t="s">
        <v>417</v>
      </c>
      <c r="N89" t="s">
        <v>418</v>
      </c>
      <c r="O89" t="s">
        <v>137</v>
      </c>
      <c r="P89" t="s">
        <v>138</v>
      </c>
      <c r="Q89" t="s">
        <v>120</v>
      </c>
      <c r="R89" t="s">
        <v>130</v>
      </c>
      <c r="S89" t="s">
        <v>165</v>
      </c>
      <c r="T89" t="s">
        <v>132</v>
      </c>
      <c r="U89" t="s">
        <v>133</v>
      </c>
    </row>
    <row r="90" spans="5:21" x14ac:dyDescent="0.35">
      <c r="E90" t="s">
        <v>419</v>
      </c>
      <c r="F90">
        <v>43791001</v>
      </c>
      <c r="G90">
        <v>1</v>
      </c>
      <c r="H90">
        <v>2171.29</v>
      </c>
      <c r="I90">
        <v>3578.27</v>
      </c>
      <c r="J90">
        <v>42928</v>
      </c>
      <c r="K90">
        <v>42931</v>
      </c>
      <c r="L90">
        <v>3</v>
      </c>
      <c r="M90" t="s">
        <v>420</v>
      </c>
      <c r="N90" t="s">
        <v>421</v>
      </c>
      <c r="O90" t="s">
        <v>149</v>
      </c>
      <c r="P90" t="s">
        <v>150</v>
      </c>
      <c r="Q90" t="s">
        <v>120</v>
      </c>
      <c r="R90" t="s">
        <v>121</v>
      </c>
      <c r="S90" t="s">
        <v>186</v>
      </c>
      <c r="T90" t="s">
        <v>123</v>
      </c>
      <c r="U90" t="s">
        <v>124</v>
      </c>
    </row>
    <row r="91" spans="5:21" x14ac:dyDescent="0.35">
      <c r="E91" t="s">
        <v>429</v>
      </c>
      <c r="F91">
        <v>43795001</v>
      </c>
      <c r="G91">
        <v>1</v>
      </c>
      <c r="H91">
        <v>2171.29</v>
      </c>
      <c r="I91">
        <v>3578.27</v>
      </c>
      <c r="J91">
        <v>42929</v>
      </c>
      <c r="K91">
        <v>42932</v>
      </c>
      <c r="L91">
        <v>3</v>
      </c>
      <c r="M91" t="s">
        <v>430</v>
      </c>
      <c r="N91" t="s">
        <v>431</v>
      </c>
      <c r="O91" t="s">
        <v>142</v>
      </c>
      <c r="P91" t="s">
        <v>138</v>
      </c>
      <c r="Q91" t="s">
        <v>120</v>
      </c>
      <c r="R91" t="s">
        <v>121</v>
      </c>
      <c r="S91" t="s">
        <v>169</v>
      </c>
      <c r="T91" t="s">
        <v>123</v>
      </c>
      <c r="U91" t="s">
        <v>124</v>
      </c>
    </row>
    <row r="92" spans="5:21" x14ac:dyDescent="0.35">
      <c r="E92" t="s">
        <v>198</v>
      </c>
      <c r="F92">
        <v>43714001</v>
      </c>
      <c r="G92">
        <v>1</v>
      </c>
      <c r="H92">
        <v>2171.29</v>
      </c>
      <c r="I92">
        <v>3578.27</v>
      </c>
      <c r="J92">
        <v>42919</v>
      </c>
      <c r="K92">
        <v>42921</v>
      </c>
      <c r="L92">
        <v>2</v>
      </c>
      <c r="M92" t="s">
        <v>199</v>
      </c>
      <c r="N92" t="s">
        <v>200</v>
      </c>
      <c r="O92" t="s">
        <v>176</v>
      </c>
      <c r="P92" t="s">
        <v>177</v>
      </c>
      <c r="Q92" t="s">
        <v>120</v>
      </c>
      <c r="R92" t="s">
        <v>121</v>
      </c>
      <c r="S92" t="s">
        <v>153</v>
      </c>
      <c r="T92" t="s">
        <v>123</v>
      </c>
      <c r="U92" t="s">
        <v>124</v>
      </c>
    </row>
    <row r="93" spans="5:21" x14ac:dyDescent="0.35">
      <c r="E93" t="s">
        <v>210</v>
      </c>
      <c r="F93">
        <v>43718001</v>
      </c>
      <c r="G93">
        <v>1</v>
      </c>
      <c r="H93">
        <v>2171.29</v>
      </c>
      <c r="I93">
        <v>3578.27</v>
      </c>
      <c r="J93">
        <v>42919</v>
      </c>
      <c r="K93">
        <v>42921</v>
      </c>
      <c r="L93">
        <v>2</v>
      </c>
      <c r="M93" t="s">
        <v>211</v>
      </c>
      <c r="N93" t="s">
        <v>212</v>
      </c>
      <c r="O93" t="s">
        <v>213</v>
      </c>
      <c r="P93" t="s">
        <v>138</v>
      </c>
      <c r="Q93" t="s">
        <v>120</v>
      </c>
      <c r="R93" t="s">
        <v>121</v>
      </c>
      <c r="S93" t="s">
        <v>153</v>
      </c>
      <c r="T93" t="s">
        <v>123</v>
      </c>
      <c r="U93" t="s">
        <v>124</v>
      </c>
    </row>
    <row r="94" spans="5:21" x14ac:dyDescent="0.35">
      <c r="E94" t="s">
        <v>233</v>
      </c>
      <c r="F94">
        <v>43725001</v>
      </c>
      <c r="G94">
        <v>1</v>
      </c>
      <c r="H94">
        <v>2171.29</v>
      </c>
      <c r="I94">
        <v>3578.27</v>
      </c>
      <c r="J94">
        <v>42920</v>
      </c>
      <c r="K94">
        <v>42922</v>
      </c>
      <c r="L94">
        <v>2</v>
      </c>
      <c r="M94" t="s">
        <v>234</v>
      </c>
      <c r="N94" t="s">
        <v>235</v>
      </c>
      <c r="O94" t="s">
        <v>236</v>
      </c>
      <c r="P94" t="s">
        <v>194</v>
      </c>
      <c r="Q94" t="s">
        <v>120</v>
      </c>
      <c r="R94" t="s">
        <v>121</v>
      </c>
      <c r="S94" t="s">
        <v>153</v>
      </c>
      <c r="T94" t="s">
        <v>123</v>
      </c>
      <c r="U94" t="s">
        <v>124</v>
      </c>
    </row>
    <row r="95" spans="5:21" x14ac:dyDescent="0.35">
      <c r="E95" t="s">
        <v>246</v>
      </c>
      <c r="F95">
        <v>43729001</v>
      </c>
      <c r="G95">
        <v>1</v>
      </c>
      <c r="H95">
        <v>1912.15</v>
      </c>
      <c r="I95">
        <v>3399.99</v>
      </c>
      <c r="J95">
        <v>42921</v>
      </c>
      <c r="K95">
        <v>42923</v>
      </c>
      <c r="L95">
        <v>2</v>
      </c>
      <c r="M95" t="s">
        <v>247</v>
      </c>
      <c r="N95" t="s">
        <v>248</v>
      </c>
      <c r="O95" t="s">
        <v>176</v>
      </c>
      <c r="P95" t="s">
        <v>177</v>
      </c>
      <c r="Q95" t="s">
        <v>120</v>
      </c>
      <c r="R95" t="s">
        <v>130</v>
      </c>
      <c r="S95" t="s">
        <v>131</v>
      </c>
      <c r="T95" t="s">
        <v>132</v>
      </c>
      <c r="U95" t="s">
        <v>133</v>
      </c>
    </row>
    <row r="96" spans="5:21" x14ac:dyDescent="0.35">
      <c r="E96" t="s">
        <v>255</v>
      </c>
      <c r="F96">
        <v>43732001</v>
      </c>
      <c r="G96">
        <v>1</v>
      </c>
      <c r="H96">
        <v>1898.09</v>
      </c>
      <c r="I96">
        <v>3374.99</v>
      </c>
      <c r="J96">
        <v>42921</v>
      </c>
      <c r="K96">
        <v>42923</v>
      </c>
      <c r="L96">
        <v>2</v>
      </c>
      <c r="M96" t="s">
        <v>256</v>
      </c>
      <c r="N96" t="s">
        <v>257</v>
      </c>
      <c r="O96" t="s">
        <v>161</v>
      </c>
      <c r="P96" t="s">
        <v>150</v>
      </c>
      <c r="Q96" t="s">
        <v>120</v>
      </c>
      <c r="R96" t="s">
        <v>130</v>
      </c>
      <c r="S96" t="s">
        <v>258</v>
      </c>
      <c r="T96" t="s">
        <v>144</v>
      </c>
      <c r="U96" t="s">
        <v>133</v>
      </c>
    </row>
    <row r="97" spans="5:21" x14ac:dyDescent="0.35">
      <c r="E97" t="s">
        <v>267</v>
      </c>
      <c r="F97">
        <v>43736001</v>
      </c>
      <c r="G97">
        <v>1</v>
      </c>
      <c r="H97">
        <v>1912.15</v>
      </c>
      <c r="I97">
        <v>3399.99</v>
      </c>
      <c r="J97">
        <v>42921</v>
      </c>
      <c r="K97">
        <v>42923</v>
      </c>
      <c r="L97">
        <v>2</v>
      </c>
      <c r="M97" t="s">
        <v>268</v>
      </c>
      <c r="N97" t="s">
        <v>269</v>
      </c>
      <c r="O97" t="s">
        <v>270</v>
      </c>
      <c r="P97" t="s">
        <v>150</v>
      </c>
      <c r="Q97" t="s">
        <v>120</v>
      </c>
      <c r="R97" t="s">
        <v>130</v>
      </c>
      <c r="S97" t="s">
        <v>131</v>
      </c>
      <c r="T97" t="s">
        <v>132</v>
      </c>
      <c r="U97" t="s">
        <v>133</v>
      </c>
    </row>
    <row r="98" spans="5:21" x14ac:dyDescent="0.35">
      <c r="E98" t="s">
        <v>301</v>
      </c>
      <c r="F98">
        <v>43747001</v>
      </c>
      <c r="G98">
        <v>1</v>
      </c>
      <c r="H98">
        <v>2171.29</v>
      </c>
      <c r="I98">
        <v>3578.27</v>
      </c>
      <c r="J98">
        <v>42923</v>
      </c>
      <c r="K98">
        <v>42925</v>
      </c>
      <c r="L98">
        <v>2</v>
      </c>
      <c r="M98" t="s">
        <v>302</v>
      </c>
      <c r="N98" t="s">
        <v>303</v>
      </c>
      <c r="O98" t="s">
        <v>142</v>
      </c>
      <c r="P98" t="s">
        <v>138</v>
      </c>
      <c r="Q98" t="s">
        <v>120</v>
      </c>
      <c r="R98" t="s">
        <v>121</v>
      </c>
      <c r="S98" t="s">
        <v>186</v>
      </c>
      <c r="T98" t="s">
        <v>123</v>
      </c>
      <c r="U98" t="s">
        <v>124</v>
      </c>
    </row>
    <row r="99" spans="5:21" x14ac:dyDescent="0.35">
      <c r="E99" t="s">
        <v>318</v>
      </c>
      <c r="F99">
        <v>43752001</v>
      </c>
      <c r="G99">
        <v>1</v>
      </c>
      <c r="H99">
        <v>2171.29</v>
      </c>
      <c r="I99">
        <v>3578.27</v>
      </c>
      <c r="J99">
        <v>42923</v>
      </c>
      <c r="K99">
        <v>42925</v>
      </c>
      <c r="L99">
        <v>2</v>
      </c>
      <c r="M99" t="s">
        <v>319</v>
      </c>
      <c r="N99" t="s">
        <v>273</v>
      </c>
      <c r="O99" t="s">
        <v>193</v>
      </c>
      <c r="P99" t="s">
        <v>194</v>
      </c>
      <c r="Q99" t="s">
        <v>120</v>
      </c>
      <c r="R99" t="s">
        <v>121</v>
      </c>
      <c r="S99" t="s">
        <v>153</v>
      </c>
      <c r="T99" t="s">
        <v>123</v>
      </c>
      <c r="U99" t="s">
        <v>124</v>
      </c>
    </row>
    <row r="100" spans="5:21" x14ac:dyDescent="0.35">
      <c r="E100" t="s">
        <v>320</v>
      </c>
      <c r="F100">
        <v>43753001</v>
      </c>
      <c r="G100">
        <v>1</v>
      </c>
      <c r="H100">
        <v>2171.29</v>
      </c>
      <c r="I100">
        <v>3578.27</v>
      </c>
      <c r="J100">
        <v>42923</v>
      </c>
      <c r="K100">
        <v>42925</v>
      </c>
      <c r="L100">
        <v>2</v>
      </c>
      <c r="M100" t="s">
        <v>321</v>
      </c>
      <c r="N100" t="s">
        <v>232</v>
      </c>
      <c r="O100" t="s">
        <v>204</v>
      </c>
      <c r="P100" t="s">
        <v>150</v>
      </c>
      <c r="Q100" t="s">
        <v>120</v>
      </c>
      <c r="R100" t="s">
        <v>121</v>
      </c>
      <c r="S100" t="s">
        <v>122</v>
      </c>
      <c r="T100" t="s">
        <v>123</v>
      </c>
      <c r="U100" t="s">
        <v>124</v>
      </c>
    </row>
    <row r="101" spans="5:21" x14ac:dyDescent="0.35">
      <c r="E101" t="s">
        <v>351</v>
      </c>
      <c r="F101">
        <v>43765001</v>
      </c>
      <c r="G101">
        <v>1</v>
      </c>
      <c r="H101">
        <v>1912.15</v>
      </c>
      <c r="I101">
        <v>3399.99</v>
      </c>
      <c r="J101">
        <v>42925</v>
      </c>
      <c r="K101">
        <v>42927</v>
      </c>
      <c r="L101">
        <v>2</v>
      </c>
      <c r="M101" t="s">
        <v>352</v>
      </c>
      <c r="N101" t="s">
        <v>160</v>
      </c>
      <c r="O101" t="s">
        <v>161</v>
      </c>
      <c r="P101" t="s">
        <v>150</v>
      </c>
      <c r="Q101" t="s">
        <v>120</v>
      </c>
      <c r="R101" t="s">
        <v>130</v>
      </c>
      <c r="S101" t="s">
        <v>131</v>
      </c>
      <c r="T101" t="s">
        <v>132</v>
      </c>
      <c r="U101" t="s">
        <v>133</v>
      </c>
    </row>
    <row r="102" spans="5:21" x14ac:dyDescent="0.35">
      <c r="E102" t="s">
        <v>361</v>
      </c>
      <c r="F102">
        <v>43769001</v>
      </c>
      <c r="G102">
        <v>1</v>
      </c>
      <c r="H102">
        <v>2171.29</v>
      </c>
      <c r="I102">
        <v>3578.27</v>
      </c>
      <c r="J102">
        <v>42926</v>
      </c>
      <c r="K102">
        <v>42928</v>
      </c>
      <c r="L102">
        <v>2</v>
      </c>
      <c r="M102" t="s">
        <v>362</v>
      </c>
      <c r="N102" t="s">
        <v>363</v>
      </c>
      <c r="O102" t="s">
        <v>118</v>
      </c>
      <c r="P102" t="s">
        <v>119</v>
      </c>
      <c r="Q102" t="s">
        <v>120</v>
      </c>
      <c r="R102" t="s">
        <v>121</v>
      </c>
      <c r="S102" t="s">
        <v>169</v>
      </c>
      <c r="T102" t="s">
        <v>123</v>
      </c>
      <c r="U102" t="s">
        <v>124</v>
      </c>
    </row>
    <row r="103" spans="5:21" x14ac:dyDescent="0.35">
      <c r="E103" t="s">
        <v>370</v>
      </c>
      <c r="F103">
        <v>43772001</v>
      </c>
      <c r="G103">
        <v>1</v>
      </c>
      <c r="H103">
        <v>2171.29</v>
      </c>
      <c r="I103">
        <v>3578.27</v>
      </c>
      <c r="J103">
        <v>42926</v>
      </c>
      <c r="K103">
        <v>42928</v>
      </c>
      <c r="L103">
        <v>2</v>
      </c>
      <c r="M103" t="s">
        <v>371</v>
      </c>
      <c r="N103" t="s">
        <v>257</v>
      </c>
      <c r="O103" t="s">
        <v>161</v>
      </c>
      <c r="P103" t="s">
        <v>150</v>
      </c>
      <c r="Q103" t="s">
        <v>120</v>
      </c>
      <c r="R103" t="s">
        <v>121</v>
      </c>
      <c r="S103" t="s">
        <v>169</v>
      </c>
      <c r="T103" t="s">
        <v>123</v>
      </c>
      <c r="U103" t="s">
        <v>124</v>
      </c>
    </row>
    <row r="104" spans="5:21" x14ac:dyDescent="0.35">
      <c r="E104" t="s">
        <v>396</v>
      </c>
      <c r="F104">
        <v>43782001</v>
      </c>
      <c r="G104">
        <v>1</v>
      </c>
      <c r="H104">
        <v>2171.29</v>
      </c>
      <c r="I104">
        <v>3578.27</v>
      </c>
      <c r="J104">
        <v>42927</v>
      </c>
      <c r="K104">
        <v>42929</v>
      </c>
      <c r="L104">
        <v>2</v>
      </c>
      <c r="M104" t="s">
        <v>397</v>
      </c>
      <c r="N104" t="s">
        <v>398</v>
      </c>
      <c r="O104" t="s">
        <v>161</v>
      </c>
      <c r="P104" t="s">
        <v>150</v>
      </c>
      <c r="Q104" t="s">
        <v>120</v>
      </c>
      <c r="R104" t="s">
        <v>121</v>
      </c>
      <c r="S104" t="s">
        <v>169</v>
      </c>
      <c r="T104" t="s">
        <v>123</v>
      </c>
      <c r="U104" t="s">
        <v>124</v>
      </c>
    </row>
    <row r="105" spans="5:21" x14ac:dyDescent="0.35">
      <c r="E105" t="s">
        <v>412</v>
      </c>
      <c r="F105">
        <v>43788001</v>
      </c>
      <c r="G105">
        <v>1</v>
      </c>
      <c r="H105">
        <v>1898.09</v>
      </c>
      <c r="I105">
        <v>3374.99</v>
      </c>
      <c r="J105">
        <v>42928</v>
      </c>
      <c r="K105">
        <v>42930</v>
      </c>
      <c r="L105">
        <v>2</v>
      </c>
      <c r="M105" t="s">
        <v>413</v>
      </c>
      <c r="N105" t="s">
        <v>289</v>
      </c>
      <c r="O105" t="s">
        <v>176</v>
      </c>
      <c r="P105" t="s">
        <v>177</v>
      </c>
      <c r="Q105" t="s">
        <v>120</v>
      </c>
      <c r="R105" t="s">
        <v>130</v>
      </c>
      <c r="S105" t="s">
        <v>162</v>
      </c>
      <c r="T105" t="s">
        <v>144</v>
      </c>
      <c r="U105" t="s">
        <v>133</v>
      </c>
    </row>
    <row r="106" spans="5:21" x14ac:dyDescent="0.35">
      <c r="E106" t="s">
        <v>427</v>
      </c>
      <c r="F106">
        <v>43794001</v>
      </c>
      <c r="G106">
        <v>1</v>
      </c>
      <c r="H106">
        <v>1912.15</v>
      </c>
      <c r="I106">
        <v>3399.99</v>
      </c>
      <c r="J106">
        <v>42928</v>
      </c>
      <c r="K106">
        <v>42930</v>
      </c>
      <c r="L106">
        <v>2</v>
      </c>
      <c r="M106" t="s">
        <v>428</v>
      </c>
      <c r="N106" t="s">
        <v>232</v>
      </c>
      <c r="O106" t="s">
        <v>204</v>
      </c>
      <c r="P106" t="s">
        <v>150</v>
      </c>
      <c r="Q106" t="s">
        <v>120</v>
      </c>
      <c r="R106" t="s">
        <v>130</v>
      </c>
      <c r="S106" t="s">
        <v>293</v>
      </c>
      <c r="T106" t="s">
        <v>132</v>
      </c>
      <c r="U106" t="s">
        <v>133</v>
      </c>
    </row>
  </sheetData>
  <conditionalFormatting sqref="C7:C10">
    <cfRule type="expression" dxfId="1" priority="3">
      <formula>$C7="X"</formula>
    </cfRule>
  </conditionalFormatting>
  <conditionalFormatting sqref="B7:B10">
    <cfRule type="expression" dxfId="0" priority="1">
      <formula>$C7="X"</formula>
    </cfRule>
  </conditionalFormatting>
  <printOptions horizontalCentered="1" verticalCentered="1"/>
  <pageMargins left="0.23622047244094491" right="0.23622047244094491" top="0.74803149606299213" bottom="0.74803149606299213" header="0.31496062992125984" footer="0.31496062992125984"/>
  <pageSetup scale="60" fitToHeight="0" orientation="landscape" r:id="rId1"/>
  <headerFooter>
    <oddHeader>&amp;CInformación de Ventas&amp;R&amp;P de &amp;N</oddHeader>
    <oddFooter>&amp;R&amp;T</oddFooter>
  </headerFooter>
  <rowBreaks count="1" manualBreakCount="1">
    <brk id="56" min="4" max="2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20</vt:i4>
      </vt:variant>
    </vt:vector>
  </HeadingPairs>
  <TitlesOfParts>
    <vt:vector size="31" baseType="lpstr">
      <vt:lpstr>M1_Introducción</vt:lpstr>
      <vt:lpstr>M2_Ingresar y Editar Datos</vt:lpstr>
      <vt:lpstr>M3_Operaciones Básicas de Hojas</vt:lpstr>
      <vt:lpstr>M4_Rangos y Tablas</vt:lpstr>
      <vt:lpstr>Totals</vt:lpstr>
      <vt:lpstr>Operations</vt:lpstr>
      <vt:lpstr>Marketing</vt:lpstr>
      <vt:lpstr>Manufacturing</vt:lpstr>
      <vt:lpstr>M5_Formateo de Hojas</vt:lpstr>
      <vt:lpstr>M6_Archivos y Plantillas</vt:lpstr>
      <vt:lpstr>M7_Impresiones</vt:lpstr>
      <vt:lpstr>M7_Impresiones!Área_de_impresión</vt:lpstr>
      <vt:lpstr>CustomerCity</vt:lpstr>
      <vt:lpstr>CustomerCountry</vt:lpstr>
      <vt:lpstr>CustomerName</vt:lpstr>
      <vt:lpstr>CustomerState</vt:lpstr>
      <vt:lpstr>DeliveryDueDate</vt:lpstr>
      <vt:lpstr>EmployeeID</vt:lpstr>
      <vt:lpstr>ItemCost</vt:lpstr>
      <vt:lpstr>ItemPrice</vt:lpstr>
      <vt:lpstr>Model</vt:lpstr>
      <vt:lpstr>OrderDate</vt:lpstr>
      <vt:lpstr>OrderNo</vt:lpstr>
      <vt:lpstr>OrderQuantity</vt:lpstr>
      <vt:lpstr>OrderToDelivery</vt:lpstr>
      <vt:lpstr>Product</vt:lpstr>
      <vt:lpstr>ProductCategory</vt:lpstr>
      <vt:lpstr>ProductColor</vt:lpstr>
      <vt:lpstr>ProductSubcategory</vt:lpstr>
      <vt:lpstr>SalesOrderLineKey</vt:lpstr>
      <vt:lpstr>M7_Impresiones!Títulos_a_imprimir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Alberto Reyes</dc:creator>
  <cp:lastModifiedBy>Luis Alberto Reyes</cp:lastModifiedBy>
  <cp:lastPrinted>2024-01-19T14:56:31Z</cp:lastPrinted>
  <dcterms:created xsi:type="dcterms:W3CDTF">2024-01-13T18:40:59Z</dcterms:created>
  <dcterms:modified xsi:type="dcterms:W3CDTF">2024-01-19T18:44:32Z</dcterms:modified>
</cp:coreProperties>
</file>